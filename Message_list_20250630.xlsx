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メッセージ一覧_Screen" sheetId="1" r:id="rId4"/>
    <sheet state="visible" name="メッセージ一覧_API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I:INFO
E:ERROR
W:WARN
F:FATAL</t>
      </text>
    </comment>
    <comment authorId="0" ref="C5">
      <text>
        <t xml:space="preserve">BT:バッチ
CL：クライアント（画面出力）
SV：クライアント（サーバ出力）</t>
      </text>
    </comment>
  </commentList>
</comments>
</file>

<file path=xl/sharedStrings.xml><?xml version="1.0" encoding="utf-8"?>
<sst xmlns="http://schemas.openxmlformats.org/spreadsheetml/2006/main" count="395" uniqueCount="213">
  <si>
    <t>Định nghĩa message</t>
  </si>
  <si>
    <t>Tên hệ thống</t>
  </si>
  <si>
    <t xml:space="preserve">Ngày </t>
  </si>
  <si>
    <t>Biên soạn bởi</t>
  </si>
  <si>
    <t>Tên chức năng</t>
  </si>
  <si>
    <t>Ngày hiệu đính</t>
  </si>
  <si>
    <t>Hiệu đính bởi</t>
  </si>
  <si>
    <t>No</t>
  </si>
  <si>
    <t>Message code</t>
  </si>
  <si>
    <t>Screen ID 
hiển thị message</t>
  </si>
  <si>
    <t>Thời điểm hiển thị</t>
  </si>
  <si>
    <t>Level</t>
  </si>
  <si>
    <t>Nội dung</t>
  </si>
  <si>
    <t>Giá trị set biến</t>
  </si>
  <si>
    <t>Ghi chú</t>
  </si>
  <si>
    <t>Type</t>
  </si>
  <si>
    <t>Chữ</t>
  </si>
  <si>
    <t>Số</t>
  </si>
  <si>
    <t>{0}</t>
  </si>
  <si>
    <t>{1}</t>
  </si>
  <si>
    <t>{2}</t>
  </si>
  <si>
    <t>E</t>
  </si>
  <si>
    <t>CL</t>
  </si>
  <si>
    <t>001</t>
  </si>
  <si>
    <t>Khi bị lỗi required</t>
  </si>
  <si>
    <t>ERROR</t>
  </si>
  <si>
    <t>{0}は必須です。</t>
  </si>
  <si>
    <t>Tên hạng mục</t>
  </si>
  <si>
    <t>002</t>
  </si>
  <si>
    <t>Khi bị lỗi vượt quá max-length</t>
  </si>
  <si>
    <t>{0}は「{1}」文字以下で入力してください。（現在{2}文字）</t>
  </si>
  <si>
    <t>Số kí tự tối đa</t>
  </si>
  <si>
    <t>Số kí tự hiện tại</t>
  </si>
  <si>
    <t>003</t>
  </si>
  <si>
    <t>Khi bị lỗi nhập chưa tới min-length</t>
  </si>
  <si>
    <t>{0}は「{1}」文字以上で入力してください。（現在{2}文字）</t>
  </si>
  <si>
    <t>004</t>
  </si>
  <si>
    <t>Lỗi format (chữ số latinh 1 byte)</t>
  </si>
  <si>
    <t>{0}は半角英数で入力してください。</t>
  </si>
  <si>
    <t>005</t>
  </si>
  <si>
    <t>Lỗi format (địa chỉ email)</t>
  </si>
  <si>
    <t>メールアドレスを正しく入力してください。</t>
  </si>
  <si>
    <t>006</t>
  </si>
  <si>
    <t>Lỗi format (2 byte)</t>
  </si>
  <si>
    <t>{0}は全角で入力してください。</t>
  </si>
  <si>
    <t>007</t>
  </si>
  <si>
    <t>Lỗi format (chữ katakana 2byte)</t>
  </si>
  <si>
    <t>{0}は全角カナで入力してください。</t>
  </si>
  <si>
    <t>008</t>
  </si>
  <si>
    <t>Lỗi format (date)</t>
  </si>
  <si>
    <t>{0}は日付を正しく入力してください。</t>
  </si>
  <si>
    <t>009</t>
  </si>
  <si>
    <t>Lỗi format (mã bưu điện)</t>
  </si>
  <si>
    <t>{0}は郵便番号を正しく入力してください。</t>
  </si>
  <si>
    <t>010</t>
  </si>
  <si>
    <t>Lỗi format không phải kí tự số</t>
  </si>
  <si>
    <t>{0}は数字を正しく入力してください。</t>
  </si>
  <si>
    <t>011</t>
  </si>
  <si>
    <t>Lỗi format (số điện thoại)</t>
  </si>
  <si>
    <t>{0}は電話番号を正しく入力してください。</t>
  </si>
  <si>
    <t>I</t>
  </si>
  <si>
    <t>012</t>
  </si>
  <si>
    <t>Kết quả search ra 0 record</t>
  </si>
  <si>
    <t>INFO</t>
  </si>
  <si>
    <t>検索結果は0件です。</t>
  </si>
  <si>
    <t>013</t>
  </si>
  <si>
    <t>Popup xác nhận khi thực hiện cập nhật DB</t>
  </si>
  <si>
    <t>{0}します。よろしいですか？</t>
  </si>
  <si>
    <t>Set với các xử lý</t>
  </si>
  <si>
    <t>014</t>
  </si>
  <si>
    <t>URL chứng thực khi tạo account bị hết hạn</t>
  </si>
  <si>
    <t>再度、新規アカウント作成を行ってください。</t>
  </si>
  <si>
    <t>015</t>
  </si>
  <si>
    <t>Khi reset password, URL chứng thực bị hết hạn</t>
  </si>
  <si>
    <t>再度、パスワード再設定を行ってください。</t>
  </si>
  <si>
    <t>016</t>
  </si>
  <si>
    <t>Địa chỉ ermail và member id đã nhập không tồn tại</t>
  </si>
  <si>
    <t>メールアドレスまたは会員IDが間違っています。</t>
  </si>
  <si>
    <t>017</t>
  </si>
  <si>
    <t>Khi login thất bại</t>
  </si>
  <si>
    <t>入力した情報のいずれかの情報が間違っています。
確認してから再度試してください。</t>
  </si>
  <si>
    <t>018</t>
  </si>
  <si>
    <t>Địa chỉ mail và địa chỉ email dùng để xác nhận không giống nhau</t>
  </si>
  <si>
    <t>確認用のメールアドレスが間違っています。</t>
  </si>
  <si>
    <t>019</t>
  </si>
  <si>
    <t>Địa chỉ email đã nhập có tồn tại sẵn trong DB</t>
  </si>
  <si>
    <t>すでにメールアドレスは登録されています。</t>
  </si>
  <si>
    <t>020</t>
  </si>
  <si>
    <t>Ký tự đã nhập không đúng</t>
  </si>
  <si>
    <t>入力した文字が間違っています。</t>
  </si>
  <si>
    <t>021</t>
  </si>
  <si>
    <t>Mật khẩu nhập không đúng loại ký tự hoặc số ký tự được chỉ định</t>
  </si>
  <si>
    <t>パスワードは半角英数字記号で8～20文字で入力してください。</t>
  </si>
  <si>
    <t>022</t>
  </si>
  <si>
    <t>Password đã nhập trùng với ID đăng kí</t>
  </si>
  <si>
    <t>パスワードには会員IDと同じ値は使用できません。</t>
  </si>
  <si>
    <t>023</t>
  </si>
  <si>
    <t>Passsword đã nhập chỉ chứa ký tự số 1byte, or chỉ chứa chữ latinh 1byte</t>
  </si>
  <si>
    <t>パスワードには半角数字のみ、または半角英字のみの値は使用できません。</t>
  </si>
  <si>
    <t>024</t>
  </si>
  <si>
    <t>Thất bại chứng thực password</t>
  </si>
  <si>
    <t>現在のパスワードは正しくありません。</t>
  </si>
  <si>
    <t>025</t>
  </si>
  <si>
    <t>ID user đã tồn tại</t>
  </si>
  <si>
    <t>すでに会員IDは登録されています。</t>
  </si>
  <si>
    <t>026</t>
  </si>
  <si>
    <t>User đang được đăng ký rồi</t>
  </si>
  <si>
    <t>すでに会員登録されています。</t>
  </si>
  <si>
    <t>027</t>
  </si>
  <si>
    <t>Password xác nhận chưa khớp</t>
  </si>
  <si>
    <t>確認用のパスワードが間違っています。</t>
  </si>
  <si>
    <t>028</t>
  </si>
  <si>
    <t>Lỗi số ký tự không chính xác</t>
  </si>
  <si>
    <t>{0}は「{1}」文字で入力してください。（現在{2}文字）</t>
  </si>
  <si>
    <t>029</t>
  </si>
  <si>
    <t xml:space="preserve">Lỗi required ký tự số </t>
  </si>
  <si>
    <t>{0}は最低1文字数字以外の文字を含む必要があります。</t>
  </si>
  <si>
    <t>030</t>
  </si>
  <si>
    <t>Lỗi định dạng file</t>
  </si>
  <si>
    <t>ファイル形式が誤っています。{0}を選択してください。</t>
  </si>
  <si>
    <t>Format của file</t>
  </si>
  <si>
    <t>Ví dụ{0}：CSVファイル</t>
  </si>
  <si>
    <t>031</t>
  </si>
  <si>
    <t>Lỗi kích cỡ file</t>
  </si>
  <si>
    <t>ファイルのサイズ制限{0}を超えています。</t>
  </si>
  <si>
    <t>File size</t>
  </si>
  <si>
    <t>Ví dụ {0}：20MB</t>
  </si>
  <si>
    <t>032</t>
  </si>
  <si>
    <t xml:space="preserve">Lỗi tạo file </t>
  </si>
  <si>
    <t>ファイルの生成に失敗しました。</t>
  </si>
  <si>
    <t>033</t>
  </si>
  <si>
    <t>Lỗi không get được data</t>
  </si>
  <si>
    <t>{0}が取得できませんでした。</t>
  </si>
  <si>
    <t>Ví dụ {0}：契約情報</t>
  </si>
  <si>
    <t>034</t>
  </si>
  <si>
    <t>Số record xuất CSV</t>
  </si>
  <si>
    <t>CSV出力件数は{0}件です。</t>
  </si>
  <si>
    <t>Số record xuất ra</t>
  </si>
  <si>
    <t>035</t>
  </si>
  <si>
    <t>Lỗi vượt quá số byte chỉ định</t>
  </si>
  <si>
    <t>{0}は「{1}」バイト以下で入力してください。（現在{2}バイト）</t>
  </si>
  <si>
    <t>Số byte có thể nhập</t>
  </si>
  <si>
    <t>Số byte hiện tại</t>
  </si>
  <si>
    <t>036</t>
  </si>
  <si>
    <t>Lỗi định dạng (chữ số 1byte)</t>
  </si>
  <si>
    <t>{0}は半角数字で入力してください。</t>
  </si>
  <si>
    <t>037</t>
  </si>
  <si>
    <t>Lỗi định dạng (chữ 1byte)</t>
  </si>
  <si>
    <t>{0}は半角英字で入力してください。</t>
  </si>
  <si>
    <t>038</t>
  </si>
  <si>
    <t>Nội dung file upload không đúng</t>
  </si>
  <si>
    <t>アップロードするファイル中身が正しくありません。</t>
  </si>
  <si>
    <t>039</t>
  </si>
  <si>
    <t>Lỗi quyền hạn</t>
  </si>
  <si>
    <t>アクセス権限がありません。</t>
  </si>
  <si>
    <t>040</t>
  </si>
  <si>
    <t>Không thể xóa user đang login</t>
  </si>
  <si>
    <t>ログインしているアカウントを削除できません。</t>
  </si>
  <si>
    <t>041</t>
  </si>
  <si>
    <t>Thời gian chỉ định không đúng</t>
  </si>
  <si>
    <t>指定された期間は正しくありません。</t>
  </si>
  <si>
    <t>042</t>
  </si>
  <si>
    <t>Import thành công</t>
  </si>
  <si>
    <t>インポートできました。</t>
  </si>
  <si>
    <t>043</t>
  </si>
  <si>
    <t>Lỗi xử lý thêm mới/cập nhật/xóa</t>
  </si>
  <si>
    <t>登録・更新・削除処理に失敗しました。</t>
  </si>
  <si>
    <t>044</t>
  </si>
  <si>
    <t>Data không tồn tại</t>
  </si>
  <si>
    <t>{0}が存在しておりません。</t>
  </si>
  <si>
    <t>045</t>
  </si>
  <si>
    <t>Import CSV thất bại</t>
  </si>
  <si>
    <t>CSV取込に失敗しました。</t>
  </si>
  <si>
    <t>046</t>
  </si>
  <si>
    <t>Xử lý thêm mới/cập nhật/xóa thành công</t>
  </si>
  <si>
    <t>登録・更新・削除処理に成功しました。</t>
  </si>
  <si>
    <t>047</t>
  </si>
  <si>
    <t>Lỗi xuất CSV</t>
  </si>
  <si>
    <t>CSV出力に失敗しました。</t>
  </si>
  <si>
    <t>048</t>
  </si>
  <si>
    <t>Lỗi hệ thống</t>
  </si>
  <si>
    <t>システムエラーになります。</t>
  </si>
  <si>
    <t>049</t>
  </si>
  <si>
    <t>Tìm không thấy data</t>
  </si>
  <si>
    <t>登録された顧客が0件です。</t>
  </si>
  <si>
    <t>050</t>
  </si>
  <si>
    <t>Không có order</t>
  </si>
  <si>
    <t>現在注文がありません。</t>
  </si>
  <si>
    <t>No.</t>
  </si>
  <si>
    <t>Tên message</t>
  </si>
  <si>
    <t>Message lỗi</t>
  </si>
  <si>
    <t>Biến {0}</t>
  </si>
  <si>
    <t>Biến {1}</t>
  </si>
  <si>
    <t>Biến {2}</t>
  </si>
  <si>
    <t>requiredError</t>
  </si>
  <si>
    <t>lengthExceeded</t>
  </si>
  <si>
    <t>emailErorr</t>
  </si>
  <si>
    <t>loginFailure</t>
  </si>
  <si>
    <t>datatypeError</t>
  </si>
  <si>
    <t>Lỗi data-type</t>
  </si>
  <si>
    <t>{0}は{1}で入力してください。</t>
  </si>
  <si>
    <t>Data-type</t>
  </si>
  <si>
    <t>valueError</t>
  </si>
  <si>
    <t>Trường hợp sai giá trị list đang định nghĩa</t>
  </si>
  <si>
    <t>有効なリスト値を入力してください。</t>
  </si>
  <si>
    <t>notExistError</t>
  </si>
  <si>
    <t>Khi không tồn tại data tương ứng</t>
  </si>
  <si>
    <t>該当する{0}がありません。</t>
  </si>
  <si>
    <t>duplicateValueError</t>
  </si>
  <si>
    <t>Trùng mail</t>
  </si>
  <si>
    <t>deleteError</t>
  </si>
  <si>
    <t>formatError</t>
  </si>
  <si>
    <t>Khi sai format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</si>
</sst>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0">
    <font>
      <sz val="10.0"/>
      <color rgb="FF000000"/>
      <name val="Arial"/>
      <scheme val="minor"/>
    </font>
    <font>
      <sz val="18.0"/>
      <color rgb="FF000000"/>
      <name val="Times New Roman"/>
    </font>
    <font/>
    <font>
      <sz val="10.0"/>
      <color rgb="FF000000"/>
      <name val="Times New Roman"/>
    </font>
    <font>
      <sz val="10.0"/>
      <color rgb="FF000000"/>
      <name val="ＭＳ ゴシック"/>
    </font>
    <font>
      <sz val="11.0"/>
      <color rgb="FF000000"/>
      <name val="Times New Roman"/>
    </font>
    <font>
      <color rgb="FF000000"/>
      <name val="&quot;Times New Roman&quot;"/>
    </font>
    <font>
      <b/>
      <sz val="10.0"/>
      <color theme="1"/>
      <name val="Times New Roman"/>
    </font>
    <font>
      <sz val="10.0"/>
      <color theme="1"/>
      <name val="Times New Roman"/>
    </font>
    <font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1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3" numFmtId="0" xfId="0" applyAlignment="1" applyBorder="1" applyFont="1">
      <alignment readingOrder="0" vertical="center"/>
    </xf>
    <xf borderId="5" fillId="2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6" fillId="2" fontId="3" numFmtId="0" xfId="0" applyAlignment="1" applyBorder="1" applyFont="1">
      <alignment vertical="center"/>
    </xf>
    <xf borderId="7" fillId="2" fontId="3" numFmtId="0" xfId="0" applyAlignment="1" applyBorder="1" applyFont="1">
      <alignment vertical="center"/>
    </xf>
    <xf borderId="8" fillId="0" fontId="3" numFmtId="164" xfId="0" applyAlignment="1" applyBorder="1" applyFont="1" applyNumberForma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8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3" numFmtId="0" xfId="0" applyAlignment="1" applyBorder="1" applyFont="1">
      <alignment readingOrder="0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15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6" fillId="0" fontId="2" numFmtId="0" xfId="0" applyBorder="1" applyFont="1"/>
    <xf borderId="15" fillId="2" fontId="6" numFmtId="0" xfId="0" applyAlignment="1" applyBorder="1" applyFont="1">
      <alignment horizontal="center" readingOrder="0"/>
    </xf>
    <xf borderId="17" fillId="0" fontId="2" numFmtId="0" xfId="0" applyBorder="1" applyFont="1"/>
    <xf borderId="18" fillId="0" fontId="2" numFmtId="0" xfId="0" applyBorder="1" applyFont="1"/>
    <xf borderId="1" fillId="2" fontId="3" numFmtId="49" xfId="0" applyAlignment="1" applyBorder="1" applyFont="1" applyNumberFormat="1">
      <alignment horizontal="center" vertical="center"/>
    </xf>
    <xf borderId="19" fillId="0" fontId="2" numFmtId="0" xfId="0" applyBorder="1" applyFont="1"/>
    <xf borderId="8" fillId="0" fontId="3" numFmtId="0" xfId="0" applyAlignment="1" applyBorder="1" applyFont="1">
      <alignment horizontal="center" vertical="center"/>
    </xf>
    <xf borderId="8" fillId="0" fontId="3" numFmtId="49" xfId="0" applyAlignment="1" applyBorder="1" applyFont="1" applyNumberFormat="1">
      <alignment horizontal="center" vertical="center"/>
    </xf>
    <xf borderId="8" fillId="0" fontId="3" numFmtId="49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shrinkToFit="1" vertical="center" wrapText="0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1" vertical="center" wrapText="0"/>
    </xf>
    <xf borderId="10" fillId="0" fontId="3" numFmtId="0" xfId="0" applyAlignment="1" applyBorder="1" applyFont="1">
      <alignment shrinkToFit="1" vertical="center" wrapText="0"/>
    </xf>
    <xf borderId="8" fillId="0" fontId="3" numFmtId="0" xfId="0" applyAlignment="1" applyBorder="1" applyFont="1">
      <alignment readingOrder="0" shrinkToFit="0" vertical="center" wrapText="0"/>
    </xf>
    <xf borderId="0" fillId="3" fontId="7" numFmtId="0" xfId="0" applyAlignment="1" applyFill="1" applyFont="1">
      <alignment readingOrder="0" shrinkToFit="0" vertical="top" wrapText="1"/>
    </xf>
    <xf borderId="0" fillId="3" fontId="7" numFmtId="0" xfId="0" applyAlignment="1" applyFont="1">
      <alignment readingOrder="0" vertical="top"/>
    </xf>
    <xf borderId="0" fillId="0" fontId="8" numFmtId="0" xfId="0" applyFont="1"/>
    <xf borderId="20" fillId="4" fontId="8" numFmtId="0" xfId="0" applyAlignment="1" applyBorder="1" applyFill="1" applyFont="1">
      <alignment shrinkToFit="0" vertical="top" wrapText="1"/>
    </xf>
    <xf borderId="20" fillId="4" fontId="8" numFmtId="0" xfId="0" applyAlignment="1" applyBorder="1" applyFont="1">
      <alignment readingOrder="0" shrinkToFit="0" vertical="top" wrapText="1"/>
    </xf>
    <xf borderId="20" fillId="4" fontId="8" numFmtId="0" xfId="0" applyAlignment="1" applyBorder="1" applyFont="1">
      <alignment readingOrder="0" vertical="top"/>
    </xf>
    <xf borderId="20" fillId="4" fontId="8" numFmtId="0" xfId="0" applyAlignment="1" applyBorder="1" applyFont="1">
      <alignment vertical="top"/>
    </xf>
    <xf borderId="20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readingOrder="0" shrinkToFit="0" vertical="top" wrapText="1"/>
    </xf>
    <xf borderId="20" fillId="4" fontId="8" numFmtId="0" xfId="0" applyAlignment="1" applyBorder="1" applyFont="1">
      <alignment readingOrder="0" vertical="top"/>
    </xf>
    <xf borderId="20" fillId="4" fontId="8" numFmtId="0" xfId="0" applyAlignment="1" applyBorder="1" applyFont="1">
      <alignment vertical="top"/>
    </xf>
    <xf borderId="0" fillId="4" fontId="8" numFmtId="0" xfId="0" applyFont="1"/>
    <xf borderId="20" fillId="0" fontId="9" numFmtId="0" xfId="0" applyAlignment="1" applyBorder="1" applyFont="1">
      <alignment readingOrder="0"/>
    </xf>
    <xf borderId="20" fillId="4" fontId="8" numFmtId="0" xfId="0" applyAlignment="1" applyBorder="1" applyFont="1">
      <alignment readingOrder="0" vertical="top"/>
    </xf>
    <xf borderId="20" fillId="0" fontId="8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メッセージ一覧_AP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Table_1" name="Table_1" id="1">
  <tableColumns count="8">
    <tableColumn name="No." id="1"/>
    <tableColumn name="Tên message" id="2"/>
    <tableColumn name="Thời điểm hiển thị" id="3"/>
    <tableColumn name="Message lỗi" id="4"/>
    <tableColumn name="Biến {0}" id="5"/>
    <tableColumn name="Biến {1}" id="6"/>
    <tableColumn name="Biến {2}" id="7"/>
    <tableColumn name="Ghi chú" id="8"/>
  </tableColumns>
  <tableStyleInfo name="メッセージ一覧_AP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0"/>
    <col customWidth="1" min="2" max="2" width="4.38"/>
    <col customWidth="1" min="3" max="3" width="5.63"/>
    <col customWidth="1" min="4" max="4" width="5.75"/>
    <col customWidth="1" min="5" max="5" width="9.0"/>
    <col customWidth="1" min="6" max="6" width="28.0"/>
    <col customWidth="1" min="7" max="7" width="11.0"/>
    <col customWidth="1" min="8" max="73" width="2.5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 t="s">
        <v>1</v>
      </c>
      <c r="L1" s="6"/>
      <c r="M1" s="6"/>
      <c r="N1" s="6"/>
      <c r="O1" s="6"/>
      <c r="P1" s="6"/>
      <c r="Q1" s="6"/>
      <c r="R1" s="6"/>
      <c r="S1" s="6"/>
      <c r="T1" s="7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9"/>
      <c r="AU1" s="5" t="s">
        <v>2</v>
      </c>
      <c r="AV1" s="10"/>
      <c r="AW1" s="10"/>
      <c r="AX1" s="10"/>
      <c r="AY1" s="11"/>
      <c r="AZ1" s="12"/>
      <c r="BA1" s="13"/>
      <c r="BB1" s="13"/>
      <c r="BC1" s="13"/>
      <c r="BD1" s="13"/>
      <c r="BE1" s="13"/>
      <c r="BF1" s="14"/>
      <c r="BG1" s="5" t="s">
        <v>3</v>
      </c>
      <c r="BH1" s="6"/>
      <c r="BI1" s="6"/>
      <c r="BJ1" s="6"/>
      <c r="BK1" s="6"/>
      <c r="BL1" s="15"/>
      <c r="BM1" s="13"/>
      <c r="BN1" s="13"/>
      <c r="BO1" s="13"/>
      <c r="BP1" s="13"/>
      <c r="BQ1" s="13"/>
      <c r="BR1" s="14"/>
      <c r="BS1" s="4"/>
      <c r="BT1" s="16"/>
      <c r="BU1" s="16"/>
    </row>
    <row r="2" ht="15.0" customHeight="1">
      <c r="A2" s="17"/>
      <c r="B2" s="18"/>
      <c r="C2" s="18"/>
      <c r="D2" s="18"/>
      <c r="E2" s="18"/>
      <c r="F2" s="18"/>
      <c r="G2" s="18"/>
      <c r="H2" s="18"/>
      <c r="I2" s="19"/>
      <c r="J2" s="4"/>
      <c r="K2" s="20" t="s">
        <v>4</v>
      </c>
      <c r="L2" s="10"/>
      <c r="M2" s="10"/>
      <c r="N2" s="10"/>
      <c r="O2" s="10"/>
      <c r="P2" s="10"/>
      <c r="Q2" s="10"/>
      <c r="R2" s="10"/>
      <c r="S2" s="10"/>
      <c r="T2" s="15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2"/>
      <c r="AU2" s="5" t="s">
        <v>5</v>
      </c>
      <c r="AV2" s="10"/>
      <c r="AW2" s="10"/>
      <c r="AX2" s="10"/>
      <c r="AY2" s="11"/>
      <c r="AZ2" s="12"/>
      <c r="BA2" s="13"/>
      <c r="BB2" s="13"/>
      <c r="BC2" s="13"/>
      <c r="BD2" s="13"/>
      <c r="BE2" s="13"/>
      <c r="BF2" s="14"/>
      <c r="BG2" s="20" t="s">
        <v>6</v>
      </c>
      <c r="BH2" s="10"/>
      <c r="BI2" s="10"/>
      <c r="BJ2" s="10"/>
      <c r="BK2" s="10"/>
      <c r="BL2" s="15"/>
      <c r="BM2" s="13"/>
      <c r="BN2" s="13"/>
      <c r="BO2" s="13"/>
      <c r="BP2" s="13"/>
      <c r="BQ2" s="13"/>
      <c r="BR2" s="14"/>
      <c r="BS2" s="4"/>
      <c r="BT2" s="16"/>
      <c r="BU2" s="16"/>
    </row>
    <row r="3" ht="15.0" customHeight="1">
      <c r="A3" s="23"/>
      <c r="B3" s="4"/>
      <c r="C3" s="4"/>
      <c r="D3" s="4"/>
      <c r="E3" s="4"/>
      <c r="F3" s="2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16"/>
      <c r="BU3" s="16"/>
    </row>
    <row r="4" ht="15.0" customHeight="1">
      <c r="A4" s="25" t="s">
        <v>7</v>
      </c>
      <c r="B4" s="26" t="s">
        <v>8</v>
      </c>
      <c r="C4" s="13"/>
      <c r="D4" s="14"/>
      <c r="E4" s="27" t="s">
        <v>9</v>
      </c>
      <c r="F4" s="27" t="s">
        <v>10</v>
      </c>
      <c r="G4" s="28" t="s">
        <v>11</v>
      </c>
      <c r="H4" s="29" t="s">
        <v>12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  <c r="AO4" s="30" t="s">
        <v>13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4"/>
      <c r="BJ4" s="31" t="s">
        <v>14</v>
      </c>
      <c r="BK4" s="2"/>
      <c r="BL4" s="2"/>
      <c r="BM4" s="2"/>
      <c r="BN4" s="2"/>
      <c r="BO4" s="2"/>
      <c r="BP4" s="2"/>
      <c r="BQ4" s="2"/>
      <c r="BR4" s="3"/>
      <c r="BS4" s="4"/>
      <c r="BT4" s="16"/>
      <c r="BU4" s="16"/>
    </row>
    <row r="5" ht="15.0" customHeight="1">
      <c r="A5" s="32"/>
      <c r="B5" s="33" t="s">
        <v>15</v>
      </c>
      <c r="C5" s="33" t="s">
        <v>16</v>
      </c>
      <c r="D5" s="33" t="s">
        <v>17</v>
      </c>
      <c r="E5" s="32"/>
      <c r="F5" s="32"/>
      <c r="G5" s="32"/>
      <c r="H5" s="34"/>
      <c r="AN5" s="35"/>
      <c r="AO5" s="36" t="s">
        <v>18</v>
      </c>
      <c r="AP5" s="2"/>
      <c r="AQ5" s="2"/>
      <c r="AR5" s="2"/>
      <c r="AS5" s="2"/>
      <c r="AT5" s="2"/>
      <c r="AU5" s="3"/>
      <c r="AV5" s="36" t="s">
        <v>19</v>
      </c>
      <c r="AW5" s="2"/>
      <c r="AX5" s="2"/>
      <c r="AY5" s="2"/>
      <c r="AZ5" s="2"/>
      <c r="BA5" s="2"/>
      <c r="BB5" s="3"/>
      <c r="BC5" s="36" t="s">
        <v>20</v>
      </c>
      <c r="BD5" s="2"/>
      <c r="BE5" s="2"/>
      <c r="BF5" s="2"/>
      <c r="BG5" s="2"/>
      <c r="BH5" s="2"/>
      <c r="BI5" s="3"/>
      <c r="BJ5" s="34"/>
      <c r="BR5" s="35"/>
      <c r="BS5" s="4"/>
      <c r="BT5" s="16"/>
      <c r="BU5" s="16"/>
    </row>
    <row r="6" ht="15.0" customHeight="1">
      <c r="A6" s="37"/>
      <c r="B6" s="37"/>
      <c r="C6" s="37"/>
      <c r="D6" s="37"/>
      <c r="E6" s="37"/>
      <c r="F6" s="37"/>
      <c r="G6" s="37"/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9"/>
      <c r="AO6" s="17"/>
      <c r="AP6" s="18"/>
      <c r="AQ6" s="18"/>
      <c r="AR6" s="18"/>
      <c r="AS6" s="18"/>
      <c r="AT6" s="18"/>
      <c r="AU6" s="19"/>
      <c r="AV6" s="17"/>
      <c r="AW6" s="18"/>
      <c r="AX6" s="18"/>
      <c r="AY6" s="18"/>
      <c r="AZ6" s="18"/>
      <c r="BA6" s="18"/>
      <c r="BB6" s="19"/>
      <c r="BC6" s="17"/>
      <c r="BD6" s="18"/>
      <c r="BE6" s="18"/>
      <c r="BF6" s="18"/>
      <c r="BG6" s="18"/>
      <c r="BH6" s="18"/>
      <c r="BI6" s="19"/>
      <c r="BJ6" s="17"/>
      <c r="BK6" s="18"/>
      <c r="BL6" s="18"/>
      <c r="BM6" s="18"/>
      <c r="BN6" s="18"/>
      <c r="BO6" s="18"/>
      <c r="BP6" s="18"/>
      <c r="BQ6" s="18"/>
      <c r="BR6" s="19"/>
      <c r="BS6" s="4"/>
      <c r="BT6" s="16"/>
      <c r="BU6" s="16"/>
    </row>
    <row r="7" ht="29.25" customHeight="1">
      <c r="A7" s="38">
        <f t="shared" ref="A7:A56" si="1">ROW()-6</f>
        <v>1</v>
      </c>
      <c r="B7" s="39" t="s">
        <v>21</v>
      </c>
      <c r="C7" s="40" t="s">
        <v>22</v>
      </c>
      <c r="D7" s="39" t="s">
        <v>23</v>
      </c>
      <c r="E7" s="41"/>
      <c r="F7" s="42" t="s">
        <v>24</v>
      </c>
      <c r="G7" s="15" t="s">
        <v>25</v>
      </c>
      <c r="H7" s="43" t="s">
        <v>26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4"/>
      <c r="AO7" s="42" t="s">
        <v>27</v>
      </c>
      <c r="AP7" s="13"/>
      <c r="AQ7" s="13"/>
      <c r="AR7" s="13"/>
      <c r="AS7" s="13"/>
      <c r="AT7" s="13"/>
      <c r="AU7" s="14"/>
      <c r="AV7" s="41"/>
      <c r="AW7" s="13"/>
      <c r="AX7" s="13"/>
      <c r="AY7" s="13"/>
      <c r="AZ7" s="13"/>
      <c r="BA7" s="13"/>
      <c r="BB7" s="14"/>
      <c r="BC7" s="41"/>
      <c r="BD7" s="13"/>
      <c r="BE7" s="13"/>
      <c r="BF7" s="13"/>
      <c r="BG7" s="13"/>
      <c r="BH7" s="13"/>
      <c r="BI7" s="14"/>
      <c r="BJ7" s="41"/>
      <c r="BK7" s="13"/>
      <c r="BL7" s="13"/>
      <c r="BM7" s="13"/>
      <c r="BN7" s="13"/>
      <c r="BO7" s="13"/>
      <c r="BP7" s="13"/>
      <c r="BQ7" s="13"/>
      <c r="BR7" s="14"/>
      <c r="BS7" s="4" t="str">
        <f t="shared" ref="BS7:BS43" si="2">B7&amp;C7&amp;D7</f>
        <v>ECL001</v>
      </c>
      <c r="BT7" s="16"/>
      <c r="BU7" s="16"/>
    </row>
    <row r="8" ht="29.25" customHeight="1">
      <c r="A8" s="38">
        <f t="shared" si="1"/>
        <v>2</v>
      </c>
      <c r="B8" s="39" t="s">
        <v>21</v>
      </c>
      <c r="C8" s="40" t="s">
        <v>22</v>
      </c>
      <c r="D8" s="39" t="s">
        <v>28</v>
      </c>
      <c r="E8" s="41"/>
      <c r="F8" s="42" t="s">
        <v>29</v>
      </c>
      <c r="G8" s="15" t="s">
        <v>25</v>
      </c>
      <c r="H8" s="15" t="s">
        <v>30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4"/>
      <c r="AO8" s="42" t="s">
        <v>27</v>
      </c>
      <c r="AP8" s="13"/>
      <c r="AQ8" s="13"/>
      <c r="AR8" s="13"/>
      <c r="AS8" s="13"/>
      <c r="AT8" s="13"/>
      <c r="AU8" s="14"/>
      <c r="AV8" s="42" t="s">
        <v>31</v>
      </c>
      <c r="AW8" s="13"/>
      <c r="AX8" s="13"/>
      <c r="AY8" s="13"/>
      <c r="AZ8" s="13"/>
      <c r="BA8" s="13"/>
      <c r="BB8" s="14"/>
      <c r="BC8" s="42" t="s">
        <v>32</v>
      </c>
      <c r="BD8" s="13"/>
      <c r="BE8" s="13"/>
      <c r="BF8" s="13"/>
      <c r="BG8" s="13"/>
      <c r="BH8" s="13"/>
      <c r="BI8" s="14"/>
      <c r="BJ8" s="41"/>
      <c r="BK8" s="13"/>
      <c r="BL8" s="13"/>
      <c r="BM8" s="13"/>
      <c r="BN8" s="13"/>
      <c r="BO8" s="13"/>
      <c r="BP8" s="13"/>
      <c r="BQ8" s="13"/>
      <c r="BR8" s="14"/>
      <c r="BS8" s="4" t="str">
        <f t="shared" si="2"/>
        <v>ECL002</v>
      </c>
      <c r="BT8" s="16"/>
      <c r="BU8" s="16"/>
    </row>
    <row r="9" ht="29.25" customHeight="1">
      <c r="A9" s="38">
        <f t="shared" si="1"/>
        <v>3</v>
      </c>
      <c r="B9" s="39" t="s">
        <v>21</v>
      </c>
      <c r="C9" s="40" t="s">
        <v>22</v>
      </c>
      <c r="D9" s="39" t="s">
        <v>33</v>
      </c>
      <c r="E9" s="41"/>
      <c r="F9" s="42" t="s">
        <v>34</v>
      </c>
      <c r="G9" s="15" t="s">
        <v>25</v>
      </c>
      <c r="H9" s="15" t="s">
        <v>35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4"/>
      <c r="AO9" s="42" t="s">
        <v>27</v>
      </c>
      <c r="AP9" s="13"/>
      <c r="AQ9" s="13"/>
      <c r="AR9" s="13"/>
      <c r="AS9" s="13"/>
      <c r="AT9" s="13"/>
      <c r="AU9" s="14"/>
      <c r="AV9" s="42" t="s">
        <v>31</v>
      </c>
      <c r="AW9" s="13"/>
      <c r="AX9" s="13"/>
      <c r="AY9" s="13"/>
      <c r="AZ9" s="13"/>
      <c r="BA9" s="13"/>
      <c r="BB9" s="14"/>
      <c r="BC9" s="42" t="s">
        <v>32</v>
      </c>
      <c r="BD9" s="13"/>
      <c r="BE9" s="13"/>
      <c r="BF9" s="13"/>
      <c r="BG9" s="13"/>
      <c r="BH9" s="13"/>
      <c r="BI9" s="14"/>
      <c r="BJ9" s="41"/>
      <c r="BK9" s="13"/>
      <c r="BL9" s="13"/>
      <c r="BM9" s="13"/>
      <c r="BN9" s="13"/>
      <c r="BO9" s="13"/>
      <c r="BP9" s="13"/>
      <c r="BQ9" s="13"/>
      <c r="BR9" s="14"/>
      <c r="BS9" s="4" t="str">
        <f t="shared" si="2"/>
        <v>ECL003</v>
      </c>
      <c r="BT9" s="16"/>
      <c r="BU9" s="16"/>
    </row>
    <row r="10" ht="29.25" customHeight="1">
      <c r="A10" s="38">
        <f t="shared" si="1"/>
        <v>4</v>
      </c>
      <c r="B10" s="39" t="s">
        <v>21</v>
      </c>
      <c r="C10" s="40" t="s">
        <v>22</v>
      </c>
      <c r="D10" s="39" t="s">
        <v>36</v>
      </c>
      <c r="E10" s="41"/>
      <c r="F10" s="42" t="s">
        <v>37</v>
      </c>
      <c r="G10" s="15" t="s">
        <v>25</v>
      </c>
      <c r="H10" s="15" t="s">
        <v>38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4"/>
      <c r="AO10" s="42" t="s">
        <v>27</v>
      </c>
      <c r="AP10" s="13"/>
      <c r="AQ10" s="13"/>
      <c r="AR10" s="13"/>
      <c r="AS10" s="13"/>
      <c r="AT10" s="13"/>
      <c r="AU10" s="14"/>
      <c r="AV10" s="41"/>
      <c r="AW10" s="13"/>
      <c r="AX10" s="13"/>
      <c r="AY10" s="13"/>
      <c r="AZ10" s="13"/>
      <c r="BA10" s="13"/>
      <c r="BB10" s="14"/>
      <c r="BC10" s="41"/>
      <c r="BD10" s="13"/>
      <c r="BE10" s="13"/>
      <c r="BF10" s="13"/>
      <c r="BG10" s="13"/>
      <c r="BH10" s="13"/>
      <c r="BI10" s="14"/>
      <c r="BJ10" s="41"/>
      <c r="BK10" s="13"/>
      <c r="BL10" s="13"/>
      <c r="BM10" s="13"/>
      <c r="BN10" s="13"/>
      <c r="BO10" s="13"/>
      <c r="BP10" s="13"/>
      <c r="BQ10" s="13"/>
      <c r="BR10" s="14"/>
      <c r="BS10" s="4" t="str">
        <f t="shared" si="2"/>
        <v>ECL004</v>
      </c>
      <c r="BT10" s="16"/>
      <c r="BU10" s="16"/>
    </row>
    <row r="11" ht="29.25" customHeight="1">
      <c r="A11" s="38">
        <f t="shared" si="1"/>
        <v>5</v>
      </c>
      <c r="B11" s="39" t="s">
        <v>21</v>
      </c>
      <c r="C11" s="40" t="s">
        <v>22</v>
      </c>
      <c r="D11" s="39" t="s">
        <v>39</v>
      </c>
      <c r="E11" s="41"/>
      <c r="F11" s="42" t="s">
        <v>40</v>
      </c>
      <c r="G11" s="15" t="s">
        <v>25</v>
      </c>
      <c r="H11" s="15" t="s">
        <v>41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4"/>
      <c r="AO11" s="41"/>
      <c r="AP11" s="13"/>
      <c r="AQ11" s="13"/>
      <c r="AR11" s="13"/>
      <c r="AS11" s="13"/>
      <c r="AT11" s="13"/>
      <c r="AU11" s="14"/>
      <c r="AV11" s="41"/>
      <c r="AW11" s="13"/>
      <c r="AX11" s="13"/>
      <c r="AY11" s="13"/>
      <c r="AZ11" s="13"/>
      <c r="BA11" s="13"/>
      <c r="BB11" s="14"/>
      <c r="BC11" s="41"/>
      <c r="BD11" s="13"/>
      <c r="BE11" s="13"/>
      <c r="BF11" s="13"/>
      <c r="BG11" s="13"/>
      <c r="BH11" s="13"/>
      <c r="BI11" s="14"/>
      <c r="BJ11" s="41"/>
      <c r="BK11" s="13"/>
      <c r="BL11" s="13"/>
      <c r="BM11" s="13"/>
      <c r="BN11" s="13"/>
      <c r="BO11" s="13"/>
      <c r="BP11" s="13"/>
      <c r="BQ11" s="13"/>
      <c r="BR11" s="14"/>
      <c r="BS11" s="4" t="str">
        <f t="shared" si="2"/>
        <v>ECL005</v>
      </c>
      <c r="BT11" s="16"/>
      <c r="BU11" s="16"/>
    </row>
    <row r="12" ht="29.25" customHeight="1">
      <c r="A12" s="38">
        <f t="shared" si="1"/>
        <v>6</v>
      </c>
      <c r="B12" s="39" t="s">
        <v>21</v>
      </c>
      <c r="C12" s="40" t="s">
        <v>22</v>
      </c>
      <c r="D12" s="39" t="s">
        <v>42</v>
      </c>
      <c r="E12" s="41"/>
      <c r="F12" s="42" t="s">
        <v>43</v>
      </c>
      <c r="G12" s="15" t="s">
        <v>25</v>
      </c>
      <c r="H12" s="15" t="s">
        <v>44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4"/>
      <c r="AO12" s="42" t="s">
        <v>27</v>
      </c>
      <c r="AP12" s="13"/>
      <c r="AQ12" s="13"/>
      <c r="AR12" s="13"/>
      <c r="AS12" s="13"/>
      <c r="AT12" s="13"/>
      <c r="AU12" s="14"/>
      <c r="AV12" s="41"/>
      <c r="AW12" s="13"/>
      <c r="AX12" s="13"/>
      <c r="AY12" s="13"/>
      <c r="AZ12" s="13"/>
      <c r="BA12" s="13"/>
      <c r="BB12" s="14"/>
      <c r="BC12" s="41"/>
      <c r="BD12" s="13"/>
      <c r="BE12" s="13"/>
      <c r="BF12" s="13"/>
      <c r="BG12" s="13"/>
      <c r="BH12" s="13"/>
      <c r="BI12" s="14"/>
      <c r="BJ12" s="41"/>
      <c r="BK12" s="13"/>
      <c r="BL12" s="13"/>
      <c r="BM12" s="13"/>
      <c r="BN12" s="13"/>
      <c r="BO12" s="13"/>
      <c r="BP12" s="13"/>
      <c r="BQ12" s="13"/>
      <c r="BR12" s="14"/>
      <c r="BS12" s="4" t="str">
        <f t="shared" si="2"/>
        <v>ECL006</v>
      </c>
      <c r="BT12" s="16"/>
      <c r="BU12" s="16"/>
    </row>
    <row r="13" ht="29.25" customHeight="1">
      <c r="A13" s="38">
        <f t="shared" si="1"/>
        <v>7</v>
      </c>
      <c r="B13" s="39" t="s">
        <v>21</v>
      </c>
      <c r="C13" s="40" t="s">
        <v>22</v>
      </c>
      <c r="D13" s="39" t="s">
        <v>45</v>
      </c>
      <c r="E13" s="41"/>
      <c r="F13" s="42" t="s">
        <v>46</v>
      </c>
      <c r="G13" s="15" t="s">
        <v>25</v>
      </c>
      <c r="H13" s="15" t="s">
        <v>47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2"/>
      <c r="AO13" s="42" t="s">
        <v>27</v>
      </c>
      <c r="AP13" s="13"/>
      <c r="AQ13" s="13"/>
      <c r="AR13" s="13"/>
      <c r="AS13" s="13"/>
      <c r="AT13" s="13"/>
      <c r="AU13" s="14"/>
      <c r="AV13" s="41"/>
      <c r="AW13" s="13"/>
      <c r="AX13" s="13"/>
      <c r="AY13" s="13"/>
      <c r="AZ13" s="13"/>
      <c r="BA13" s="13"/>
      <c r="BB13" s="14"/>
      <c r="BC13" s="41"/>
      <c r="BD13" s="13"/>
      <c r="BE13" s="13"/>
      <c r="BF13" s="13"/>
      <c r="BG13" s="13"/>
      <c r="BH13" s="13"/>
      <c r="BI13" s="14"/>
      <c r="BJ13" s="41"/>
      <c r="BK13" s="13"/>
      <c r="BL13" s="13"/>
      <c r="BM13" s="13"/>
      <c r="BN13" s="13"/>
      <c r="BO13" s="13"/>
      <c r="BP13" s="13"/>
      <c r="BQ13" s="13"/>
      <c r="BR13" s="14"/>
      <c r="BS13" s="4" t="str">
        <f t="shared" si="2"/>
        <v>ECL007</v>
      </c>
      <c r="BT13" s="16"/>
      <c r="BU13" s="16"/>
    </row>
    <row r="14" ht="29.25" customHeight="1">
      <c r="A14" s="38">
        <f t="shared" si="1"/>
        <v>8</v>
      </c>
      <c r="B14" s="39" t="s">
        <v>21</v>
      </c>
      <c r="C14" s="40" t="s">
        <v>22</v>
      </c>
      <c r="D14" s="39" t="s">
        <v>48</v>
      </c>
      <c r="E14" s="41"/>
      <c r="F14" s="42" t="s">
        <v>49</v>
      </c>
      <c r="G14" s="15" t="s">
        <v>25</v>
      </c>
      <c r="H14" s="15" t="s">
        <v>50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2"/>
      <c r="AO14" s="42" t="s">
        <v>27</v>
      </c>
      <c r="AP14" s="13"/>
      <c r="AQ14" s="13"/>
      <c r="AR14" s="13"/>
      <c r="AS14" s="13"/>
      <c r="AT14" s="13"/>
      <c r="AU14" s="14"/>
      <c r="AV14" s="41"/>
      <c r="AW14" s="13"/>
      <c r="AX14" s="13"/>
      <c r="AY14" s="13"/>
      <c r="AZ14" s="13"/>
      <c r="BA14" s="13"/>
      <c r="BB14" s="14"/>
      <c r="BC14" s="41"/>
      <c r="BD14" s="13"/>
      <c r="BE14" s="13"/>
      <c r="BF14" s="13"/>
      <c r="BG14" s="13"/>
      <c r="BH14" s="13"/>
      <c r="BI14" s="14"/>
      <c r="BJ14" s="41"/>
      <c r="BK14" s="13"/>
      <c r="BL14" s="13"/>
      <c r="BM14" s="13"/>
      <c r="BN14" s="13"/>
      <c r="BO14" s="13"/>
      <c r="BP14" s="13"/>
      <c r="BQ14" s="13"/>
      <c r="BR14" s="14"/>
      <c r="BS14" s="4" t="str">
        <f t="shared" si="2"/>
        <v>ECL008</v>
      </c>
      <c r="BT14" s="16"/>
      <c r="BU14" s="16"/>
    </row>
    <row r="15" ht="29.25" customHeight="1">
      <c r="A15" s="38">
        <f t="shared" si="1"/>
        <v>9</v>
      </c>
      <c r="B15" s="39" t="s">
        <v>21</v>
      </c>
      <c r="C15" s="40" t="s">
        <v>22</v>
      </c>
      <c r="D15" s="39" t="s">
        <v>51</v>
      </c>
      <c r="E15" s="41"/>
      <c r="F15" s="42" t="s">
        <v>52</v>
      </c>
      <c r="G15" s="15" t="s">
        <v>25</v>
      </c>
      <c r="H15" s="15" t="s">
        <v>53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4"/>
      <c r="AO15" s="42" t="s">
        <v>27</v>
      </c>
      <c r="AP15" s="13"/>
      <c r="AQ15" s="13"/>
      <c r="AR15" s="13"/>
      <c r="AS15" s="13"/>
      <c r="AT15" s="13"/>
      <c r="AU15" s="14"/>
      <c r="AV15" s="41"/>
      <c r="AW15" s="13"/>
      <c r="AX15" s="13"/>
      <c r="AY15" s="13"/>
      <c r="AZ15" s="13"/>
      <c r="BA15" s="13"/>
      <c r="BB15" s="14"/>
      <c r="BC15" s="41"/>
      <c r="BD15" s="13"/>
      <c r="BE15" s="13"/>
      <c r="BF15" s="13"/>
      <c r="BG15" s="13"/>
      <c r="BH15" s="13"/>
      <c r="BI15" s="14"/>
      <c r="BJ15" s="41"/>
      <c r="BK15" s="13"/>
      <c r="BL15" s="13"/>
      <c r="BM15" s="13"/>
      <c r="BN15" s="13"/>
      <c r="BO15" s="13"/>
      <c r="BP15" s="13"/>
      <c r="BQ15" s="13"/>
      <c r="BR15" s="14"/>
      <c r="BS15" s="4" t="str">
        <f t="shared" si="2"/>
        <v>ECL009</v>
      </c>
      <c r="BT15" s="16"/>
      <c r="BU15" s="16"/>
    </row>
    <row r="16" ht="29.25" customHeight="1">
      <c r="A16" s="38">
        <f t="shared" si="1"/>
        <v>10</v>
      </c>
      <c r="B16" s="39" t="s">
        <v>21</v>
      </c>
      <c r="C16" s="40" t="s">
        <v>22</v>
      </c>
      <c r="D16" s="39" t="s">
        <v>54</v>
      </c>
      <c r="E16" s="41"/>
      <c r="F16" s="42" t="s">
        <v>55</v>
      </c>
      <c r="G16" s="15" t="s">
        <v>25</v>
      </c>
      <c r="H16" s="15" t="s">
        <v>56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4"/>
      <c r="AO16" s="42" t="s">
        <v>27</v>
      </c>
      <c r="AP16" s="13"/>
      <c r="AQ16" s="13"/>
      <c r="AR16" s="13"/>
      <c r="AS16" s="13"/>
      <c r="AT16" s="13"/>
      <c r="AU16" s="14"/>
      <c r="AV16" s="41"/>
      <c r="AW16" s="13"/>
      <c r="AX16" s="13"/>
      <c r="AY16" s="13"/>
      <c r="AZ16" s="13"/>
      <c r="BA16" s="13"/>
      <c r="BB16" s="14"/>
      <c r="BC16" s="41"/>
      <c r="BD16" s="13"/>
      <c r="BE16" s="13"/>
      <c r="BF16" s="13"/>
      <c r="BG16" s="13"/>
      <c r="BH16" s="13"/>
      <c r="BI16" s="14"/>
      <c r="BJ16" s="41"/>
      <c r="BK16" s="13"/>
      <c r="BL16" s="13"/>
      <c r="BM16" s="13"/>
      <c r="BN16" s="13"/>
      <c r="BO16" s="13"/>
      <c r="BP16" s="13"/>
      <c r="BQ16" s="13"/>
      <c r="BR16" s="14"/>
      <c r="BS16" s="4" t="str">
        <f t="shared" si="2"/>
        <v>ECL010</v>
      </c>
      <c r="BT16" s="16"/>
      <c r="BU16" s="16"/>
    </row>
    <row r="17" ht="29.25" customHeight="1">
      <c r="A17" s="38">
        <f t="shared" si="1"/>
        <v>11</v>
      </c>
      <c r="B17" s="39" t="s">
        <v>21</v>
      </c>
      <c r="C17" s="40" t="s">
        <v>22</v>
      </c>
      <c r="D17" s="39" t="s">
        <v>57</v>
      </c>
      <c r="E17" s="41"/>
      <c r="F17" s="42" t="s">
        <v>58</v>
      </c>
      <c r="G17" s="15" t="s">
        <v>25</v>
      </c>
      <c r="H17" s="15" t="s">
        <v>59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4"/>
      <c r="AO17" s="42" t="s">
        <v>27</v>
      </c>
      <c r="AP17" s="13"/>
      <c r="AQ17" s="13"/>
      <c r="AR17" s="13"/>
      <c r="AS17" s="13"/>
      <c r="AT17" s="13"/>
      <c r="AU17" s="14"/>
      <c r="AV17" s="41"/>
      <c r="AW17" s="13"/>
      <c r="AX17" s="13"/>
      <c r="AY17" s="13"/>
      <c r="AZ17" s="13"/>
      <c r="BA17" s="13"/>
      <c r="BB17" s="14"/>
      <c r="BC17" s="41"/>
      <c r="BD17" s="13"/>
      <c r="BE17" s="13"/>
      <c r="BF17" s="13"/>
      <c r="BG17" s="13"/>
      <c r="BH17" s="13"/>
      <c r="BI17" s="14"/>
      <c r="BJ17" s="41"/>
      <c r="BK17" s="13"/>
      <c r="BL17" s="13"/>
      <c r="BM17" s="13"/>
      <c r="BN17" s="13"/>
      <c r="BO17" s="13"/>
      <c r="BP17" s="13"/>
      <c r="BQ17" s="13"/>
      <c r="BR17" s="14"/>
      <c r="BS17" s="4" t="str">
        <f t="shared" si="2"/>
        <v>ECL011</v>
      </c>
      <c r="BT17" s="16"/>
      <c r="BU17" s="16"/>
    </row>
    <row r="18" ht="29.25" customHeight="1">
      <c r="A18" s="38">
        <f t="shared" si="1"/>
        <v>12</v>
      </c>
      <c r="B18" s="39" t="s">
        <v>60</v>
      </c>
      <c r="C18" s="40" t="s">
        <v>22</v>
      </c>
      <c r="D18" s="39" t="s">
        <v>61</v>
      </c>
      <c r="E18" s="41"/>
      <c r="F18" s="42" t="s">
        <v>62</v>
      </c>
      <c r="G18" s="15" t="s">
        <v>63</v>
      </c>
      <c r="H18" s="15" t="s">
        <v>64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4"/>
      <c r="AO18" s="41"/>
      <c r="AP18" s="13"/>
      <c r="AQ18" s="13"/>
      <c r="AR18" s="13"/>
      <c r="AS18" s="13"/>
      <c r="AT18" s="13"/>
      <c r="AU18" s="14"/>
      <c r="AV18" s="41"/>
      <c r="AW18" s="13"/>
      <c r="AX18" s="13"/>
      <c r="AY18" s="13"/>
      <c r="AZ18" s="13"/>
      <c r="BA18" s="13"/>
      <c r="BB18" s="14"/>
      <c r="BC18" s="41"/>
      <c r="BD18" s="13"/>
      <c r="BE18" s="13"/>
      <c r="BF18" s="13"/>
      <c r="BG18" s="13"/>
      <c r="BH18" s="13"/>
      <c r="BI18" s="14"/>
      <c r="BJ18" s="41"/>
      <c r="BK18" s="13"/>
      <c r="BL18" s="13"/>
      <c r="BM18" s="13"/>
      <c r="BN18" s="13"/>
      <c r="BO18" s="13"/>
      <c r="BP18" s="13"/>
      <c r="BQ18" s="13"/>
      <c r="BR18" s="14"/>
      <c r="BS18" s="4" t="str">
        <f t="shared" si="2"/>
        <v>ICL012</v>
      </c>
      <c r="BT18" s="16"/>
      <c r="BU18" s="16"/>
    </row>
    <row r="19" ht="43.5" customHeight="1">
      <c r="A19" s="38">
        <f t="shared" si="1"/>
        <v>13</v>
      </c>
      <c r="B19" s="39" t="s">
        <v>60</v>
      </c>
      <c r="C19" s="40" t="s">
        <v>22</v>
      </c>
      <c r="D19" s="39" t="s">
        <v>65</v>
      </c>
      <c r="E19" s="15"/>
      <c r="F19" s="42" t="s">
        <v>66</v>
      </c>
      <c r="G19" s="15" t="s">
        <v>63</v>
      </c>
      <c r="H19" s="41" t="s">
        <v>67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4"/>
      <c r="AO19" s="42" t="s">
        <v>68</v>
      </c>
      <c r="AP19" s="13"/>
      <c r="AQ19" s="13"/>
      <c r="AR19" s="13"/>
      <c r="AS19" s="13"/>
      <c r="AT19" s="13"/>
      <c r="AU19" s="14"/>
      <c r="AV19" s="41"/>
      <c r="AW19" s="13"/>
      <c r="AX19" s="13"/>
      <c r="AY19" s="13"/>
      <c r="AZ19" s="13"/>
      <c r="BA19" s="13"/>
      <c r="BB19" s="14"/>
      <c r="BC19" s="41"/>
      <c r="BD19" s="13"/>
      <c r="BE19" s="13"/>
      <c r="BF19" s="13"/>
      <c r="BG19" s="13"/>
      <c r="BH19" s="13"/>
      <c r="BI19" s="14"/>
      <c r="BJ19" s="41"/>
      <c r="BK19" s="13"/>
      <c r="BL19" s="13"/>
      <c r="BM19" s="13"/>
      <c r="BN19" s="13"/>
      <c r="BO19" s="13"/>
      <c r="BP19" s="13"/>
      <c r="BQ19" s="13"/>
      <c r="BR19" s="14"/>
      <c r="BS19" s="4" t="str">
        <f t="shared" si="2"/>
        <v>ICL013</v>
      </c>
      <c r="BT19" s="16"/>
      <c r="BU19" s="16"/>
    </row>
    <row r="20" ht="29.25" customHeight="1">
      <c r="A20" s="38">
        <f t="shared" si="1"/>
        <v>14</v>
      </c>
      <c r="B20" s="39" t="s">
        <v>21</v>
      </c>
      <c r="C20" s="40" t="s">
        <v>22</v>
      </c>
      <c r="D20" s="39" t="s">
        <v>69</v>
      </c>
      <c r="E20" s="15"/>
      <c r="F20" s="42" t="s">
        <v>70</v>
      </c>
      <c r="G20" s="15" t="s">
        <v>25</v>
      </c>
      <c r="H20" s="15" t="s">
        <v>71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4"/>
      <c r="AO20" s="41"/>
      <c r="AP20" s="13"/>
      <c r="AQ20" s="13"/>
      <c r="AR20" s="13"/>
      <c r="AS20" s="13"/>
      <c r="AT20" s="13"/>
      <c r="AU20" s="14"/>
      <c r="AV20" s="41"/>
      <c r="AW20" s="13"/>
      <c r="AX20" s="13"/>
      <c r="AY20" s="13"/>
      <c r="AZ20" s="13"/>
      <c r="BA20" s="13"/>
      <c r="BB20" s="14"/>
      <c r="BC20" s="41"/>
      <c r="BD20" s="13"/>
      <c r="BE20" s="13"/>
      <c r="BF20" s="13"/>
      <c r="BG20" s="13"/>
      <c r="BH20" s="13"/>
      <c r="BI20" s="14"/>
      <c r="BJ20" s="41"/>
      <c r="BK20" s="13"/>
      <c r="BL20" s="13"/>
      <c r="BM20" s="13"/>
      <c r="BN20" s="13"/>
      <c r="BO20" s="13"/>
      <c r="BP20" s="13"/>
      <c r="BQ20" s="13"/>
      <c r="BR20" s="14"/>
      <c r="BS20" s="4" t="str">
        <f t="shared" si="2"/>
        <v>ECL014</v>
      </c>
      <c r="BT20" s="16"/>
      <c r="BU20" s="16"/>
    </row>
    <row r="21" ht="29.25" customHeight="1">
      <c r="A21" s="38">
        <f t="shared" si="1"/>
        <v>15</v>
      </c>
      <c r="B21" s="39" t="s">
        <v>21</v>
      </c>
      <c r="C21" s="40" t="s">
        <v>22</v>
      </c>
      <c r="D21" s="39" t="s">
        <v>72</v>
      </c>
      <c r="E21" s="15"/>
      <c r="F21" s="42" t="s">
        <v>73</v>
      </c>
      <c r="G21" s="15" t="s">
        <v>25</v>
      </c>
      <c r="H21" s="15" t="s">
        <v>74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4"/>
      <c r="AO21" s="41"/>
      <c r="AP21" s="13"/>
      <c r="AQ21" s="13"/>
      <c r="AR21" s="13"/>
      <c r="AS21" s="13"/>
      <c r="AT21" s="13"/>
      <c r="AU21" s="14"/>
      <c r="AV21" s="41"/>
      <c r="AW21" s="13"/>
      <c r="AX21" s="13"/>
      <c r="AY21" s="13"/>
      <c r="AZ21" s="13"/>
      <c r="BA21" s="13"/>
      <c r="BB21" s="14"/>
      <c r="BC21" s="41"/>
      <c r="BD21" s="13"/>
      <c r="BE21" s="13"/>
      <c r="BF21" s="13"/>
      <c r="BG21" s="13"/>
      <c r="BH21" s="13"/>
      <c r="BI21" s="14"/>
      <c r="BJ21" s="41"/>
      <c r="BK21" s="13"/>
      <c r="BL21" s="13"/>
      <c r="BM21" s="13"/>
      <c r="BN21" s="13"/>
      <c r="BO21" s="13"/>
      <c r="BP21" s="13"/>
      <c r="BQ21" s="13"/>
      <c r="BR21" s="14"/>
      <c r="BS21" s="4" t="str">
        <f t="shared" si="2"/>
        <v>ECL015</v>
      </c>
      <c r="BT21" s="16"/>
      <c r="BU21" s="16"/>
    </row>
    <row r="22" ht="41.25" customHeight="1">
      <c r="A22" s="38">
        <f t="shared" si="1"/>
        <v>16</v>
      </c>
      <c r="B22" s="39" t="s">
        <v>21</v>
      </c>
      <c r="C22" s="40" t="s">
        <v>22</v>
      </c>
      <c r="D22" s="39" t="s">
        <v>75</v>
      </c>
      <c r="E22" s="15"/>
      <c r="F22" s="42" t="s">
        <v>76</v>
      </c>
      <c r="G22" s="15" t="s">
        <v>25</v>
      </c>
      <c r="H22" s="43" t="s">
        <v>77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4"/>
      <c r="AO22" s="41"/>
      <c r="AP22" s="13"/>
      <c r="AQ22" s="13"/>
      <c r="AR22" s="13"/>
      <c r="AS22" s="13"/>
      <c r="AT22" s="13"/>
      <c r="AU22" s="14"/>
      <c r="AV22" s="41"/>
      <c r="AW22" s="13"/>
      <c r="AX22" s="13"/>
      <c r="AY22" s="13"/>
      <c r="AZ22" s="13"/>
      <c r="BA22" s="13"/>
      <c r="BB22" s="14"/>
      <c r="BC22" s="41"/>
      <c r="BD22" s="13"/>
      <c r="BE22" s="13"/>
      <c r="BF22" s="13"/>
      <c r="BG22" s="13"/>
      <c r="BH22" s="13"/>
      <c r="BI22" s="14"/>
      <c r="BJ22" s="41"/>
      <c r="BK22" s="13"/>
      <c r="BL22" s="13"/>
      <c r="BM22" s="13"/>
      <c r="BN22" s="13"/>
      <c r="BO22" s="13"/>
      <c r="BP22" s="13"/>
      <c r="BQ22" s="13"/>
      <c r="BR22" s="14"/>
      <c r="BS22" s="4" t="str">
        <f t="shared" si="2"/>
        <v>ECL016</v>
      </c>
      <c r="BT22" s="16"/>
      <c r="BU22" s="16"/>
    </row>
    <row r="23" ht="29.25" customHeight="1">
      <c r="A23" s="38">
        <f t="shared" si="1"/>
        <v>17</v>
      </c>
      <c r="B23" s="39" t="s">
        <v>21</v>
      </c>
      <c r="C23" s="40" t="s">
        <v>22</v>
      </c>
      <c r="D23" s="39" t="s">
        <v>78</v>
      </c>
      <c r="E23" s="15"/>
      <c r="F23" s="42" t="s">
        <v>79</v>
      </c>
      <c r="G23" s="15" t="s">
        <v>25</v>
      </c>
      <c r="H23" s="41" t="s">
        <v>80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4"/>
      <c r="AO23" s="15"/>
      <c r="AP23" s="13"/>
      <c r="AQ23" s="13"/>
      <c r="AR23" s="13"/>
      <c r="AS23" s="13"/>
      <c r="AT23" s="13"/>
      <c r="AU23" s="14"/>
      <c r="AV23" s="15"/>
      <c r="AW23" s="13"/>
      <c r="AX23" s="13"/>
      <c r="AY23" s="13"/>
      <c r="AZ23" s="13"/>
      <c r="BA23" s="13"/>
      <c r="BB23" s="14"/>
      <c r="BC23" s="15"/>
      <c r="BD23" s="13"/>
      <c r="BE23" s="13"/>
      <c r="BF23" s="13"/>
      <c r="BG23" s="13"/>
      <c r="BH23" s="13"/>
      <c r="BI23" s="14"/>
      <c r="BJ23" s="15"/>
      <c r="BK23" s="13"/>
      <c r="BL23" s="13"/>
      <c r="BM23" s="13"/>
      <c r="BN23" s="13"/>
      <c r="BO23" s="13"/>
      <c r="BP23" s="13"/>
      <c r="BQ23" s="13"/>
      <c r="BR23" s="14"/>
      <c r="BS23" s="4" t="str">
        <f t="shared" si="2"/>
        <v>ECL017</v>
      </c>
      <c r="BT23" s="16"/>
      <c r="BU23" s="16"/>
    </row>
    <row r="24" ht="29.25" customHeight="1">
      <c r="A24" s="38">
        <f t="shared" si="1"/>
        <v>18</v>
      </c>
      <c r="B24" s="39" t="s">
        <v>21</v>
      </c>
      <c r="C24" s="40" t="s">
        <v>22</v>
      </c>
      <c r="D24" s="39" t="s">
        <v>81</v>
      </c>
      <c r="E24" s="41"/>
      <c r="F24" s="42" t="s">
        <v>82</v>
      </c>
      <c r="G24" s="15" t="s">
        <v>25</v>
      </c>
      <c r="H24" s="41" t="s">
        <v>83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4"/>
      <c r="AO24" s="15"/>
      <c r="AP24" s="13"/>
      <c r="AQ24" s="13"/>
      <c r="AR24" s="13"/>
      <c r="AS24" s="13"/>
      <c r="AT24" s="13"/>
      <c r="AU24" s="14"/>
      <c r="AV24" s="15"/>
      <c r="AW24" s="13"/>
      <c r="AX24" s="13"/>
      <c r="AY24" s="13"/>
      <c r="AZ24" s="13"/>
      <c r="BA24" s="13"/>
      <c r="BB24" s="14"/>
      <c r="BC24" s="15"/>
      <c r="BD24" s="13"/>
      <c r="BE24" s="13"/>
      <c r="BF24" s="13"/>
      <c r="BG24" s="13"/>
      <c r="BH24" s="13"/>
      <c r="BI24" s="14"/>
      <c r="BJ24" s="15"/>
      <c r="BK24" s="13"/>
      <c r="BL24" s="13"/>
      <c r="BM24" s="13"/>
      <c r="BN24" s="13"/>
      <c r="BO24" s="13"/>
      <c r="BP24" s="13"/>
      <c r="BQ24" s="13"/>
      <c r="BR24" s="14"/>
      <c r="BS24" s="4" t="str">
        <f t="shared" si="2"/>
        <v>ECL018</v>
      </c>
      <c r="BT24" s="16"/>
      <c r="BU24" s="16"/>
    </row>
    <row r="25" ht="29.25" customHeight="1">
      <c r="A25" s="38">
        <f t="shared" si="1"/>
        <v>19</v>
      </c>
      <c r="B25" s="39" t="s">
        <v>21</v>
      </c>
      <c r="C25" s="40" t="s">
        <v>22</v>
      </c>
      <c r="D25" s="39" t="s">
        <v>84</v>
      </c>
      <c r="E25" s="41"/>
      <c r="F25" s="42" t="s">
        <v>85</v>
      </c>
      <c r="G25" s="15" t="s">
        <v>25</v>
      </c>
      <c r="H25" s="41" t="s">
        <v>86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4"/>
      <c r="AO25" s="15"/>
      <c r="AP25" s="13"/>
      <c r="AQ25" s="13"/>
      <c r="AR25" s="13"/>
      <c r="AS25" s="13"/>
      <c r="AT25" s="13"/>
      <c r="AU25" s="14"/>
      <c r="AV25" s="15"/>
      <c r="AW25" s="13"/>
      <c r="AX25" s="13"/>
      <c r="AY25" s="13"/>
      <c r="AZ25" s="13"/>
      <c r="BA25" s="13"/>
      <c r="BB25" s="14"/>
      <c r="BC25" s="15"/>
      <c r="BD25" s="13"/>
      <c r="BE25" s="13"/>
      <c r="BF25" s="13"/>
      <c r="BG25" s="13"/>
      <c r="BH25" s="13"/>
      <c r="BI25" s="14"/>
      <c r="BJ25" s="15"/>
      <c r="BK25" s="13"/>
      <c r="BL25" s="13"/>
      <c r="BM25" s="13"/>
      <c r="BN25" s="13"/>
      <c r="BO25" s="13"/>
      <c r="BP25" s="13"/>
      <c r="BQ25" s="13"/>
      <c r="BR25" s="14"/>
      <c r="BS25" s="4" t="str">
        <f t="shared" si="2"/>
        <v>ECL019</v>
      </c>
      <c r="BT25" s="16"/>
      <c r="BU25" s="16"/>
    </row>
    <row r="26" ht="29.25" customHeight="1">
      <c r="A26" s="38">
        <f t="shared" si="1"/>
        <v>20</v>
      </c>
      <c r="B26" s="39" t="s">
        <v>21</v>
      </c>
      <c r="C26" s="40" t="s">
        <v>22</v>
      </c>
      <c r="D26" s="39" t="s">
        <v>87</v>
      </c>
      <c r="E26" s="15"/>
      <c r="F26" s="42" t="s">
        <v>88</v>
      </c>
      <c r="G26" s="15" t="s">
        <v>25</v>
      </c>
      <c r="H26" s="41" t="s">
        <v>89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4"/>
      <c r="AO26" s="15"/>
      <c r="AP26" s="13"/>
      <c r="AQ26" s="13"/>
      <c r="AR26" s="13"/>
      <c r="AS26" s="13"/>
      <c r="AT26" s="13"/>
      <c r="AU26" s="14"/>
      <c r="AV26" s="15"/>
      <c r="AW26" s="13"/>
      <c r="AX26" s="13"/>
      <c r="AY26" s="13"/>
      <c r="AZ26" s="13"/>
      <c r="BA26" s="13"/>
      <c r="BB26" s="14"/>
      <c r="BC26" s="15"/>
      <c r="BD26" s="13"/>
      <c r="BE26" s="13"/>
      <c r="BF26" s="13"/>
      <c r="BG26" s="13"/>
      <c r="BH26" s="13"/>
      <c r="BI26" s="14"/>
      <c r="BJ26" s="15"/>
      <c r="BK26" s="13"/>
      <c r="BL26" s="13"/>
      <c r="BM26" s="13"/>
      <c r="BN26" s="13"/>
      <c r="BO26" s="13"/>
      <c r="BP26" s="13"/>
      <c r="BQ26" s="13"/>
      <c r="BR26" s="14"/>
      <c r="BS26" s="4" t="str">
        <f t="shared" si="2"/>
        <v>ECL020</v>
      </c>
      <c r="BT26" s="16"/>
      <c r="BU26" s="16"/>
    </row>
    <row r="27" ht="29.25" customHeight="1">
      <c r="A27" s="38">
        <f t="shared" si="1"/>
        <v>21</v>
      </c>
      <c r="B27" s="39" t="s">
        <v>21</v>
      </c>
      <c r="C27" s="40" t="s">
        <v>22</v>
      </c>
      <c r="D27" s="39" t="s">
        <v>90</v>
      </c>
      <c r="E27" s="41"/>
      <c r="F27" s="42" t="s">
        <v>91</v>
      </c>
      <c r="G27" s="15" t="s">
        <v>25</v>
      </c>
      <c r="H27" s="15" t="s">
        <v>92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4"/>
      <c r="AO27" s="41"/>
      <c r="AP27" s="13"/>
      <c r="AQ27" s="13"/>
      <c r="AR27" s="13"/>
      <c r="AS27" s="13"/>
      <c r="AT27" s="13"/>
      <c r="AU27" s="14"/>
      <c r="AV27" s="15"/>
      <c r="AW27" s="13"/>
      <c r="AX27" s="13"/>
      <c r="AY27" s="13"/>
      <c r="AZ27" s="13"/>
      <c r="BA27" s="13"/>
      <c r="BB27" s="14"/>
      <c r="BC27" s="15"/>
      <c r="BD27" s="13"/>
      <c r="BE27" s="13"/>
      <c r="BF27" s="13"/>
      <c r="BG27" s="13"/>
      <c r="BH27" s="13"/>
      <c r="BI27" s="14"/>
      <c r="BJ27" s="15"/>
      <c r="BK27" s="13"/>
      <c r="BL27" s="13"/>
      <c r="BM27" s="13"/>
      <c r="BN27" s="13"/>
      <c r="BO27" s="13"/>
      <c r="BP27" s="13"/>
      <c r="BQ27" s="13"/>
      <c r="BR27" s="14"/>
      <c r="BS27" s="4" t="str">
        <f t="shared" si="2"/>
        <v>ECL021</v>
      </c>
      <c r="BT27" s="16"/>
      <c r="BU27" s="16"/>
    </row>
    <row r="28" ht="29.25" customHeight="1">
      <c r="A28" s="38">
        <f t="shared" si="1"/>
        <v>22</v>
      </c>
      <c r="B28" s="39" t="s">
        <v>21</v>
      </c>
      <c r="C28" s="40" t="s">
        <v>22</v>
      </c>
      <c r="D28" s="39" t="s">
        <v>93</v>
      </c>
      <c r="E28" s="41"/>
      <c r="F28" s="42" t="s">
        <v>94</v>
      </c>
      <c r="G28" s="15" t="s">
        <v>25</v>
      </c>
      <c r="H28" s="15" t="s">
        <v>95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4"/>
      <c r="AO28" s="41"/>
      <c r="AP28" s="13"/>
      <c r="AQ28" s="13"/>
      <c r="AR28" s="13"/>
      <c r="AS28" s="13"/>
      <c r="AT28" s="13"/>
      <c r="AU28" s="14"/>
      <c r="AV28" s="15"/>
      <c r="AW28" s="13"/>
      <c r="AX28" s="13"/>
      <c r="AY28" s="13"/>
      <c r="AZ28" s="13"/>
      <c r="BA28" s="13"/>
      <c r="BB28" s="14"/>
      <c r="BC28" s="15"/>
      <c r="BD28" s="13"/>
      <c r="BE28" s="13"/>
      <c r="BF28" s="13"/>
      <c r="BG28" s="13"/>
      <c r="BH28" s="13"/>
      <c r="BI28" s="14"/>
      <c r="BJ28" s="15"/>
      <c r="BK28" s="13"/>
      <c r="BL28" s="13"/>
      <c r="BM28" s="13"/>
      <c r="BN28" s="13"/>
      <c r="BO28" s="13"/>
      <c r="BP28" s="13"/>
      <c r="BQ28" s="13"/>
      <c r="BR28" s="14"/>
      <c r="BS28" s="4" t="str">
        <f t="shared" si="2"/>
        <v>ECL022</v>
      </c>
      <c r="BT28" s="16"/>
      <c r="BU28" s="16"/>
    </row>
    <row r="29" ht="29.25" customHeight="1">
      <c r="A29" s="38">
        <f t="shared" si="1"/>
        <v>23</v>
      </c>
      <c r="B29" s="39" t="s">
        <v>21</v>
      </c>
      <c r="C29" s="40" t="s">
        <v>22</v>
      </c>
      <c r="D29" s="39" t="s">
        <v>96</v>
      </c>
      <c r="E29" s="41"/>
      <c r="F29" s="42" t="s">
        <v>97</v>
      </c>
      <c r="G29" s="15" t="s">
        <v>25</v>
      </c>
      <c r="H29" s="15" t="s">
        <v>98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4"/>
      <c r="AO29" s="41"/>
      <c r="AP29" s="13"/>
      <c r="AQ29" s="13"/>
      <c r="AR29" s="13"/>
      <c r="AS29" s="13"/>
      <c r="AT29" s="13"/>
      <c r="AU29" s="14"/>
      <c r="AV29" s="15"/>
      <c r="AW29" s="13"/>
      <c r="AX29" s="13"/>
      <c r="AY29" s="13"/>
      <c r="AZ29" s="13"/>
      <c r="BA29" s="13"/>
      <c r="BB29" s="14"/>
      <c r="BC29" s="15"/>
      <c r="BD29" s="13"/>
      <c r="BE29" s="13"/>
      <c r="BF29" s="13"/>
      <c r="BG29" s="13"/>
      <c r="BH29" s="13"/>
      <c r="BI29" s="14"/>
      <c r="BJ29" s="15"/>
      <c r="BK29" s="13"/>
      <c r="BL29" s="13"/>
      <c r="BM29" s="13"/>
      <c r="BN29" s="13"/>
      <c r="BO29" s="13"/>
      <c r="BP29" s="13"/>
      <c r="BQ29" s="13"/>
      <c r="BR29" s="14"/>
      <c r="BS29" s="4" t="str">
        <f t="shared" si="2"/>
        <v>ECL023</v>
      </c>
      <c r="BT29" s="16"/>
      <c r="BU29" s="16"/>
    </row>
    <row r="30" ht="29.25" customHeight="1">
      <c r="A30" s="38">
        <f t="shared" si="1"/>
        <v>24</v>
      </c>
      <c r="B30" s="39" t="s">
        <v>21</v>
      </c>
      <c r="C30" s="40" t="s">
        <v>22</v>
      </c>
      <c r="D30" s="39" t="s">
        <v>99</v>
      </c>
      <c r="E30" s="41"/>
      <c r="F30" s="42" t="s">
        <v>100</v>
      </c>
      <c r="G30" s="15" t="s">
        <v>25</v>
      </c>
      <c r="H30" s="15" t="s">
        <v>101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4"/>
      <c r="AO30" s="41"/>
      <c r="AP30" s="13"/>
      <c r="AQ30" s="13"/>
      <c r="AR30" s="13"/>
      <c r="AS30" s="13"/>
      <c r="AT30" s="13"/>
      <c r="AU30" s="14"/>
      <c r="AV30" s="15"/>
      <c r="AW30" s="13"/>
      <c r="AX30" s="13"/>
      <c r="AY30" s="13"/>
      <c r="AZ30" s="13"/>
      <c r="BA30" s="13"/>
      <c r="BB30" s="14"/>
      <c r="BC30" s="15"/>
      <c r="BD30" s="13"/>
      <c r="BE30" s="13"/>
      <c r="BF30" s="13"/>
      <c r="BG30" s="13"/>
      <c r="BH30" s="13"/>
      <c r="BI30" s="14"/>
      <c r="BJ30" s="15"/>
      <c r="BK30" s="13"/>
      <c r="BL30" s="13"/>
      <c r="BM30" s="13"/>
      <c r="BN30" s="13"/>
      <c r="BO30" s="13"/>
      <c r="BP30" s="13"/>
      <c r="BQ30" s="13"/>
      <c r="BR30" s="14"/>
      <c r="BS30" s="4" t="str">
        <f t="shared" si="2"/>
        <v>ECL024</v>
      </c>
      <c r="BT30" s="16"/>
      <c r="BU30" s="16"/>
    </row>
    <row r="31" ht="29.25" customHeight="1">
      <c r="A31" s="38">
        <f t="shared" si="1"/>
        <v>25</v>
      </c>
      <c r="B31" s="39" t="s">
        <v>21</v>
      </c>
      <c r="C31" s="40" t="s">
        <v>22</v>
      </c>
      <c r="D31" s="39" t="s">
        <v>102</v>
      </c>
      <c r="E31" s="41"/>
      <c r="F31" s="42" t="s">
        <v>103</v>
      </c>
      <c r="G31" s="15" t="s">
        <v>25</v>
      </c>
      <c r="H31" s="41" t="s">
        <v>104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4"/>
      <c r="AO31" s="41"/>
      <c r="AP31" s="13"/>
      <c r="AQ31" s="13"/>
      <c r="AR31" s="13"/>
      <c r="AS31" s="13"/>
      <c r="AT31" s="13"/>
      <c r="AU31" s="14"/>
      <c r="AV31" s="15"/>
      <c r="AW31" s="13"/>
      <c r="AX31" s="13"/>
      <c r="AY31" s="13"/>
      <c r="AZ31" s="13"/>
      <c r="BA31" s="13"/>
      <c r="BB31" s="14"/>
      <c r="BC31" s="15"/>
      <c r="BD31" s="13"/>
      <c r="BE31" s="13"/>
      <c r="BF31" s="13"/>
      <c r="BG31" s="13"/>
      <c r="BH31" s="13"/>
      <c r="BI31" s="14"/>
      <c r="BJ31" s="15"/>
      <c r="BK31" s="13"/>
      <c r="BL31" s="13"/>
      <c r="BM31" s="13"/>
      <c r="BN31" s="13"/>
      <c r="BO31" s="13"/>
      <c r="BP31" s="13"/>
      <c r="BQ31" s="13"/>
      <c r="BR31" s="14"/>
      <c r="BS31" s="4" t="str">
        <f t="shared" si="2"/>
        <v>ECL025</v>
      </c>
      <c r="BT31" s="16"/>
      <c r="BU31" s="16"/>
    </row>
    <row r="32" ht="29.25" customHeight="1">
      <c r="A32" s="38">
        <f t="shared" si="1"/>
        <v>26</v>
      </c>
      <c r="B32" s="39" t="s">
        <v>21</v>
      </c>
      <c r="C32" s="40" t="s">
        <v>22</v>
      </c>
      <c r="D32" s="39" t="s">
        <v>105</v>
      </c>
      <c r="E32" s="41"/>
      <c r="F32" s="42" t="s">
        <v>106</v>
      </c>
      <c r="G32" s="15" t="s">
        <v>25</v>
      </c>
      <c r="H32" s="41" t="s">
        <v>107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4"/>
      <c r="AO32" s="41"/>
      <c r="AP32" s="13"/>
      <c r="AQ32" s="13"/>
      <c r="AR32" s="13"/>
      <c r="AS32" s="13"/>
      <c r="AT32" s="13"/>
      <c r="AU32" s="14"/>
      <c r="AV32" s="15"/>
      <c r="AW32" s="13"/>
      <c r="AX32" s="13"/>
      <c r="AY32" s="13"/>
      <c r="AZ32" s="13"/>
      <c r="BA32" s="13"/>
      <c r="BB32" s="14"/>
      <c r="BC32" s="15"/>
      <c r="BD32" s="13"/>
      <c r="BE32" s="13"/>
      <c r="BF32" s="13"/>
      <c r="BG32" s="13"/>
      <c r="BH32" s="13"/>
      <c r="BI32" s="14"/>
      <c r="BJ32" s="15"/>
      <c r="BK32" s="13"/>
      <c r="BL32" s="13"/>
      <c r="BM32" s="13"/>
      <c r="BN32" s="13"/>
      <c r="BO32" s="13"/>
      <c r="BP32" s="13"/>
      <c r="BQ32" s="13"/>
      <c r="BR32" s="14"/>
      <c r="BS32" s="4" t="str">
        <f t="shared" si="2"/>
        <v>ECL026</v>
      </c>
      <c r="BT32" s="16"/>
      <c r="BU32" s="16"/>
    </row>
    <row r="33" ht="29.25" customHeight="1">
      <c r="A33" s="38">
        <f t="shared" si="1"/>
        <v>27</v>
      </c>
      <c r="B33" s="39" t="s">
        <v>21</v>
      </c>
      <c r="C33" s="40" t="s">
        <v>22</v>
      </c>
      <c r="D33" s="39" t="s">
        <v>108</v>
      </c>
      <c r="E33" s="41"/>
      <c r="F33" s="42" t="s">
        <v>109</v>
      </c>
      <c r="G33" s="15" t="s">
        <v>25</v>
      </c>
      <c r="H33" s="41" t="s">
        <v>110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4"/>
      <c r="AO33" s="15"/>
      <c r="AP33" s="13"/>
      <c r="AQ33" s="13"/>
      <c r="AR33" s="13"/>
      <c r="AS33" s="13"/>
      <c r="AT33" s="13"/>
      <c r="AU33" s="14"/>
      <c r="AV33" s="15"/>
      <c r="AW33" s="13"/>
      <c r="AX33" s="13"/>
      <c r="AY33" s="13"/>
      <c r="AZ33" s="13"/>
      <c r="BA33" s="13"/>
      <c r="BB33" s="14"/>
      <c r="BC33" s="15"/>
      <c r="BD33" s="13"/>
      <c r="BE33" s="13"/>
      <c r="BF33" s="13"/>
      <c r="BG33" s="13"/>
      <c r="BH33" s="13"/>
      <c r="BI33" s="14"/>
      <c r="BJ33" s="15"/>
      <c r="BK33" s="13"/>
      <c r="BL33" s="13"/>
      <c r="BM33" s="13"/>
      <c r="BN33" s="13"/>
      <c r="BO33" s="13"/>
      <c r="BP33" s="13"/>
      <c r="BQ33" s="13"/>
      <c r="BR33" s="14"/>
      <c r="BS33" s="4" t="str">
        <f t="shared" si="2"/>
        <v>ECL027</v>
      </c>
      <c r="BT33" s="16"/>
      <c r="BU33" s="16"/>
    </row>
    <row r="34" ht="29.25" customHeight="1">
      <c r="A34" s="38">
        <f t="shared" si="1"/>
        <v>28</v>
      </c>
      <c r="B34" s="39" t="s">
        <v>21</v>
      </c>
      <c r="C34" s="40" t="s">
        <v>22</v>
      </c>
      <c r="D34" s="39" t="s">
        <v>111</v>
      </c>
      <c r="E34" s="41"/>
      <c r="F34" s="42" t="s">
        <v>112</v>
      </c>
      <c r="G34" s="15" t="s">
        <v>25</v>
      </c>
      <c r="H34" s="15" t="s">
        <v>113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4"/>
      <c r="AO34" s="15"/>
      <c r="AP34" s="13"/>
      <c r="AQ34" s="13"/>
      <c r="AR34" s="13"/>
      <c r="AS34" s="13"/>
      <c r="AT34" s="13"/>
      <c r="AU34" s="14"/>
      <c r="AV34" s="15"/>
      <c r="AW34" s="13"/>
      <c r="AX34" s="13"/>
      <c r="AY34" s="13"/>
      <c r="AZ34" s="13"/>
      <c r="BA34" s="13"/>
      <c r="BB34" s="14"/>
      <c r="BC34" s="15"/>
      <c r="BD34" s="13"/>
      <c r="BE34" s="13"/>
      <c r="BF34" s="13"/>
      <c r="BG34" s="13"/>
      <c r="BH34" s="13"/>
      <c r="BI34" s="14"/>
      <c r="BJ34" s="15"/>
      <c r="BK34" s="13"/>
      <c r="BL34" s="13"/>
      <c r="BM34" s="13"/>
      <c r="BN34" s="13"/>
      <c r="BO34" s="13"/>
      <c r="BP34" s="13"/>
      <c r="BQ34" s="13"/>
      <c r="BR34" s="14"/>
      <c r="BS34" s="4" t="str">
        <f t="shared" si="2"/>
        <v>ECL028</v>
      </c>
      <c r="BT34" s="16"/>
      <c r="BU34" s="16"/>
    </row>
    <row r="35" ht="29.25" customHeight="1">
      <c r="A35" s="38">
        <f t="shared" si="1"/>
        <v>29</v>
      </c>
      <c r="B35" s="39" t="s">
        <v>21</v>
      </c>
      <c r="C35" s="40" t="s">
        <v>22</v>
      </c>
      <c r="D35" s="39" t="s">
        <v>114</v>
      </c>
      <c r="E35" s="41"/>
      <c r="F35" s="42" t="s">
        <v>115</v>
      </c>
      <c r="G35" s="15" t="s">
        <v>25</v>
      </c>
      <c r="H35" s="15" t="s">
        <v>116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4"/>
      <c r="AO35" s="15"/>
      <c r="AP35" s="13"/>
      <c r="AQ35" s="13"/>
      <c r="AR35" s="13"/>
      <c r="AS35" s="13"/>
      <c r="AT35" s="13"/>
      <c r="AU35" s="14"/>
      <c r="AV35" s="15"/>
      <c r="AW35" s="13"/>
      <c r="AX35" s="13"/>
      <c r="AY35" s="13"/>
      <c r="AZ35" s="13"/>
      <c r="BA35" s="13"/>
      <c r="BB35" s="14"/>
      <c r="BC35" s="15"/>
      <c r="BD35" s="13"/>
      <c r="BE35" s="13"/>
      <c r="BF35" s="13"/>
      <c r="BG35" s="13"/>
      <c r="BH35" s="13"/>
      <c r="BI35" s="14"/>
      <c r="BJ35" s="15"/>
      <c r="BK35" s="13"/>
      <c r="BL35" s="13"/>
      <c r="BM35" s="13"/>
      <c r="BN35" s="13"/>
      <c r="BO35" s="13"/>
      <c r="BP35" s="13"/>
      <c r="BQ35" s="13"/>
      <c r="BR35" s="14"/>
      <c r="BS35" s="4" t="str">
        <f t="shared" si="2"/>
        <v>ECL029</v>
      </c>
      <c r="BT35" s="16"/>
      <c r="BU35" s="16"/>
    </row>
    <row r="36" ht="29.25" customHeight="1">
      <c r="A36" s="38">
        <f t="shared" si="1"/>
        <v>30</v>
      </c>
      <c r="B36" s="39" t="s">
        <v>21</v>
      </c>
      <c r="C36" s="40" t="s">
        <v>22</v>
      </c>
      <c r="D36" s="39" t="s">
        <v>117</v>
      </c>
      <c r="E36" s="41"/>
      <c r="F36" s="42" t="s">
        <v>118</v>
      </c>
      <c r="G36" s="15" t="s">
        <v>25</v>
      </c>
      <c r="H36" s="15" t="s">
        <v>119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4"/>
      <c r="AO36" s="43" t="s">
        <v>120</v>
      </c>
      <c r="AP36" s="13"/>
      <c r="AQ36" s="13"/>
      <c r="AR36" s="13"/>
      <c r="AS36" s="13"/>
      <c r="AT36" s="13"/>
      <c r="AU36" s="14"/>
      <c r="AV36" s="15"/>
      <c r="AW36" s="13"/>
      <c r="AX36" s="13"/>
      <c r="AY36" s="13"/>
      <c r="AZ36" s="13"/>
      <c r="BA36" s="13"/>
      <c r="BB36" s="14"/>
      <c r="BC36" s="15"/>
      <c r="BD36" s="13"/>
      <c r="BE36" s="13"/>
      <c r="BF36" s="13"/>
      <c r="BG36" s="13"/>
      <c r="BH36" s="13"/>
      <c r="BI36" s="14"/>
      <c r="BJ36" s="43" t="s">
        <v>121</v>
      </c>
      <c r="BK36" s="13"/>
      <c r="BL36" s="13"/>
      <c r="BM36" s="13"/>
      <c r="BN36" s="13"/>
      <c r="BO36" s="13"/>
      <c r="BP36" s="13"/>
      <c r="BQ36" s="13"/>
      <c r="BR36" s="14"/>
      <c r="BS36" s="4" t="str">
        <f t="shared" si="2"/>
        <v>ECL030</v>
      </c>
      <c r="BT36" s="16"/>
      <c r="BU36" s="16"/>
    </row>
    <row r="37" ht="29.25" customHeight="1">
      <c r="A37" s="38">
        <f t="shared" si="1"/>
        <v>31</v>
      </c>
      <c r="B37" s="39" t="s">
        <v>21</v>
      </c>
      <c r="C37" s="40" t="s">
        <v>22</v>
      </c>
      <c r="D37" s="39" t="s">
        <v>122</v>
      </c>
      <c r="E37" s="41"/>
      <c r="F37" s="42" t="s">
        <v>123</v>
      </c>
      <c r="G37" s="15" t="s">
        <v>25</v>
      </c>
      <c r="H37" s="15" t="s">
        <v>124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4"/>
      <c r="AO37" s="43" t="s">
        <v>125</v>
      </c>
      <c r="AP37" s="13"/>
      <c r="AQ37" s="13"/>
      <c r="AR37" s="13"/>
      <c r="AS37" s="13"/>
      <c r="AT37" s="13"/>
      <c r="AU37" s="14"/>
      <c r="AV37" s="15"/>
      <c r="AW37" s="13"/>
      <c r="AX37" s="13"/>
      <c r="AY37" s="13"/>
      <c r="AZ37" s="13"/>
      <c r="BA37" s="13"/>
      <c r="BB37" s="14"/>
      <c r="BC37" s="15"/>
      <c r="BD37" s="13"/>
      <c r="BE37" s="13"/>
      <c r="BF37" s="13"/>
      <c r="BG37" s="13"/>
      <c r="BH37" s="13"/>
      <c r="BI37" s="14"/>
      <c r="BJ37" s="43" t="s">
        <v>126</v>
      </c>
      <c r="BK37" s="13"/>
      <c r="BL37" s="13"/>
      <c r="BM37" s="13"/>
      <c r="BN37" s="13"/>
      <c r="BO37" s="13"/>
      <c r="BP37" s="13"/>
      <c r="BQ37" s="13"/>
      <c r="BR37" s="14"/>
      <c r="BS37" s="4" t="str">
        <f t="shared" si="2"/>
        <v>ECL031</v>
      </c>
      <c r="BT37" s="16"/>
      <c r="BU37" s="16"/>
    </row>
    <row r="38" ht="29.25" customHeight="1">
      <c r="A38" s="38">
        <f t="shared" si="1"/>
        <v>32</v>
      </c>
      <c r="B38" s="39" t="s">
        <v>21</v>
      </c>
      <c r="C38" s="40" t="s">
        <v>22</v>
      </c>
      <c r="D38" s="39" t="s">
        <v>127</v>
      </c>
      <c r="E38" s="41"/>
      <c r="F38" s="42" t="s">
        <v>128</v>
      </c>
      <c r="G38" s="15" t="s">
        <v>25</v>
      </c>
      <c r="H38" s="15" t="s">
        <v>129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4"/>
      <c r="AO38" s="15"/>
      <c r="AP38" s="13"/>
      <c r="AQ38" s="13"/>
      <c r="AR38" s="13"/>
      <c r="AS38" s="13"/>
      <c r="AT38" s="13"/>
      <c r="AU38" s="14"/>
      <c r="AV38" s="15"/>
      <c r="AW38" s="13"/>
      <c r="AX38" s="13"/>
      <c r="AY38" s="13"/>
      <c r="AZ38" s="13"/>
      <c r="BA38" s="13"/>
      <c r="BB38" s="14"/>
      <c r="BC38" s="15"/>
      <c r="BD38" s="13"/>
      <c r="BE38" s="13"/>
      <c r="BF38" s="13"/>
      <c r="BG38" s="13"/>
      <c r="BH38" s="13"/>
      <c r="BI38" s="14"/>
      <c r="BJ38" s="15"/>
      <c r="BK38" s="13"/>
      <c r="BL38" s="13"/>
      <c r="BM38" s="13"/>
      <c r="BN38" s="13"/>
      <c r="BO38" s="13"/>
      <c r="BP38" s="13"/>
      <c r="BQ38" s="13"/>
      <c r="BR38" s="14"/>
      <c r="BS38" s="4" t="str">
        <f t="shared" si="2"/>
        <v>ECL032</v>
      </c>
      <c r="BT38" s="16"/>
      <c r="BU38" s="16"/>
    </row>
    <row r="39" ht="29.25" customHeight="1">
      <c r="A39" s="38">
        <f t="shared" si="1"/>
        <v>33</v>
      </c>
      <c r="B39" s="39" t="s">
        <v>21</v>
      </c>
      <c r="C39" s="40" t="s">
        <v>22</v>
      </c>
      <c r="D39" s="39" t="s">
        <v>130</v>
      </c>
      <c r="E39" s="41"/>
      <c r="F39" s="42" t="s">
        <v>131</v>
      </c>
      <c r="G39" s="15" t="s">
        <v>25</v>
      </c>
      <c r="H39" s="15" t="s">
        <v>132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4"/>
      <c r="AO39" s="15"/>
      <c r="AP39" s="13"/>
      <c r="AQ39" s="13"/>
      <c r="AR39" s="13"/>
      <c r="AS39" s="13"/>
      <c r="AT39" s="13"/>
      <c r="AU39" s="14"/>
      <c r="AV39" s="15"/>
      <c r="AW39" s="13"/>
      <c r="AX39" s="13"/>
      <c r="AY39" s="13"/>
      <c r="AZ39" s="13"/>
      <c r="BA39" s="13"/>
      <c r="BB39" s="14"/>
      <c r="BC39" s="15"/>
      <c r="BD39" s="13"/>
      <c r="BE39" s="13"/>
      <c r="BF39" s="13"/>
      <c r="BG39" s="13"/>
      <c r="BH39" s="13"/>
      <c r="BI39" s="14"/>
      <c r="BJ39" s="43" t="s">
        <v>133</v>
      </c>
      <c r="BK39" s="13"/>
      <c r="BL39" s="13"/>
      <c r="BM39" s="13"/>
      <c r="BN39" s="13"/>
      <c r="BO39" s="13"/>
      <c r="BP39" s="13"/>
      <c r="BQ39" s="13"/>
      <c r="BR39" s="14"/>
      <c r="BS39" s="4" t="str">
        <f t="shared" si="2"/>
        <v>ECL033</v>
      </c>
      <c r="BT39" s="16"/>
      <c r="BU39" s="16"/>
    </row>
    <row r="40" ht="29.25" customHeight="1">
      <c r="A40" s="38">
        <f t="shared" si="1"/>
        <v>34</v>
      </c>
      <c r="B40" s="39" t="s">
        <v>60</v>
      </c>
      <c r="C40" s="40" t="s">
        <v>22</v>
      </c>
      <c r="D40" s="39" t="s">
        <v>134</v>
      </c>
      <c r="E40" s="41"/>
      <c r="F40" s="42" t="s">
        <v>135</v>
      </c>
      <c r="G40" s="15" t="s">
        <v>63</v>
      </c>
      <c r="H40" s="15" t="s">
        <v>136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4"/>
      <c r="AO40" s="42" t="s">
        <v>137</v>
      </c>
      <c r="AP40" s="13"/>
      <c r="AQ40" s="13"/>
      <c r="AR40" s="13"/>
      <c r="AS40" s="13"/>
      <c r="AT40" s="13"/>
      <c r="AU40" s="14"/>
      <c r="AV40" s="41"/>
      <c r="AW40" s="13"/>
      <c r="AX40" s="13"/>
      <c r="AY40" s="13"/>
      <c r="AZ40" s="13"/>
      <c r="BA40" s="13"/>
      <c r="BB40" s="14"/>
      <c r="BC40" s="41"/>
      <c r="BD40" s="13"/>
      <c r="BE40" s="13"/>
      <c r="BF40" s="13"/>
      <c r="BG40" s="13"/>
      <c r="BH40" s="13"/>
      <c r="BI40" s="14"/>
      <c r="BJ40" s="41"/>
      <c r="BK40" s="13"/>
      <c r="BL40" s="13"/>
      <c r="BM40" s="13"/>
      <c r="BN40" s="13"/>
      <c r="BO40" s="13"/>
      <c r="BP40" s="13"/>
      <c r="BQ40" s="13"/>
      <c r="BR40" s="14"/>
      <c r="BS40" s="4" t="str">
        <f t="shared" si="2"/>
        <v>ICL034</v>
      </c>
      <c r="BT40" s="16"/>
      <c r="BU40" s="16"/>
    </row>
    <row r="41" ht="29.25" customHeight="1">
      <c r="A41" s="38">
        <f t="shared" si="1"/>
        <v>35</v>
      </c>
      <c r="B41" s="39" t="s">
        <v>21</v>
      </c>
      <c r="C41" s="40" t="s">
        <v>22</v>
      </c>
      <c r="D41" s="39" t="s">
        <v>138</v>
      </c>
      <c r="E41" s="41"/>
      <c r="F41" s="42" t="s">
        <v>139</v>
      </c>
      <c r="G41" s="15" t="s">
        <v>25</v>
      </c>
      <c r="H41" s="15" t="s">
        <v>140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4"/>
      <c r="AO41" s="42" t="s">
        <v>27</v>
      </c>
      <c r="AP41" s="13"/>
      <c r="AQ41" s="13"/>
      <c r="AR41" s="13"/>
      <c r="AS41" s="13"/>
      <c r="AT41" s="13"/>
      <c r="AU41" s="14"/>
      <c r="AV41" s="42" t="s">
        <v>141</v>
      </c>
      <c r="AW41" s="13"/>
      <c r="AX41" s="13"/>
      <c r="AY41" s="13"/>
      <c r="AZ41" s="13"/>
      <c r="BA41" s="13"/>
      <c r="BB41" s="14"/>
      <c r="BC41" s="42" t="s">
        <v>142</v>
      </c>
      <c r="BD41" s="13"/>
      <c r="BE41" s="13"/>
      <c r="BF41" s="13"/>
      <c r="BG41" s="13"/>
      <c r="BH41" s="13"/>
      <c r="BI41" s="14"/>
      <c r="BJ41" s="44"/>
      <c r="BK41" s="13"/>
      <c r="BL41" s="13"/>
      <c r="BM41" s="13"/>
      <c r="BN41" s="13"/>
      <c r="BO41" s="13"/>
      <c r="BP41" s="13"/>
      <c r="BQ41" s="13"/>
      <c r="BR41" s="14"/>
      <c r="BS41" s="4" t="str">
        <f t="shared" si="2"/>
        <v>ECL035</v>
      </c>
      <c r="BT41" s="16"/>
      <c r="BU41" s="16"/>
    </row>
    <row r="42" ht="29.25" customHeight="1">
      <c r="A42" s="38">
        <f t="shared" si="1"/>
        <v>36</v>
      </c>
      <c r="B42" s="39" t="s">
        <v>60</v>
      </c>
      <c r="C42" s="40" t="s">
        <v>22</v>
      </c>
      <c r="D42" s="39" t="s">
        <v>143</v>
      </c>
      <c r="E42" s="41"/>
      <c r="F42" s="42" t="s">
        <v>144</v>
      </c>
      <c r="G42" s="15" t="s">
        <v>25</v>
      </c>
      <c r="H42" s="15" t="s">
        <v>145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4"/>
      <c r="AO42" s="42" t="s">
        <v>27</v>
      </c>
      <c r="AP42" s="13"/>
      <c r="AQ42" s="13"/>
      <c r="AR42" s="13"/>
      <c r="AS42" s="13"/>
      <c r="AT42" s="13"/>
      <c r="AU42" s="14"/>
      <c r="AV42" s="41"/>
      <c r="AW42" s="13"/>
      <c r="AX42" s="13"/>
      <c r="AY42" s="13"/>
      <c r="AZ42" s="13"/>
      <c r="BA42" s="13"/>
      <c r="BB42" s="14"/>
      <c r="BC42" s="41"/>
      <c r="BD42" s="13"/>
      <c r="BE42" s="13"/>
      <c r="BF42" s="13"/>
      <c r="BG42" s="13"/>
      <c r="BH42" s="13"/>
      <c r="BI42" s="14"/>
      <c r="BJ42" s="41"/>
      <c r="BK42" s="13"/>
      <c r="BL42" s="13"/>
      <c r="BM42" s="13"/>
      <c r="BN42" s="13"/>
      <c r="BO42" s="13"/>
      <c r="BP42" s="13"/>
      <c r="BQ42" s="13"/>
      <c r="BR42" s="14"/>
      <c r="BS42" s="4" t="str">
        <f t="shared" si="2"/>
        <v>ICL036</v>
      </c>
      <c r="BT42" s="16"/>
      <c r="BU42" s="16"/>
    </row>
    <row r="43" ht="29.25" customHeight="1">
      <c r="A43" s="38">
        <f t="shared" si="1"/>
        <v>37</v>
      </c>
      <c r="B43" s="39" t="s">
        <v>60</v>
      </c>
      <c r="C43" s="40" t="s">
        <v>22</v>
      </c>
      <c r="D43" s="39" t="s">
        <v>146</v>
      </c>
      <c r="E43" s="41"/>
      <c r="F43" s="42" t="s">
        <v>147</v>
      </c>
      <c r="G43" s="15" t="s">
        <v>25</v>
      </c>
      <c r="H43" s="15" t="s">
        <v>148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4"/>
      <c r="AO43" s="42" t="s">
        <v>27</v>
      </c>
      <c r="AP43" s="13"/>
      <c r="AQ43" s="13"/>
      <c r="AR43" s="13"/>
      <c r="AS43" s="13"/>
      <c r="AT43" s="13"/>
      <c r="AU43" s="14"/>
      <c r="AV43" s="41"/>
      <c r="AW43" s="13"/>
      <c r="AX43" s="13"/>
      <c r="AY43" s="13"/>
      <c r="AZ43" s="13"/>
      <c r="BA43" s="13"/>
      <c r="BB43" s="14"/>
      <c r="BC43" s="41"/>
      <c r="BD43" s="13"/>
      <c r="BE43" s="13"/>
      <c r="BF43" s="13"/>
      <c r="BG43" s="13"/>
      <c r="BH43" s="13"/>
      <c r="BI43" s="14"/>
      <c r="BJ43" s="41"/>
      <c r="BK43" s="13"/>
      <c r="BL43" s="13"/>
      <c r="BM43" s="13"/>
      <c r="BN43" s="13"/>
      <c r="BO43" s="13"/>
      <c r="BP43" s="13"/>
      <c r="BQ43" s="13"/>
      <c r="BR43" s="14"/>
      <c r="BS43" s="4" t="str">
        <f t="shared" si="2"/>
        <v>ICL037</v>
      </c>
      <c r="BT43" s="16"/>
      <c r="BU43" s="16"/>
    </row>
    <row r="44" ht="29.25" customHeight="1">
      <c r="A44" s="38">
        <f t="shared" si="1"/>
        <v>38</v>
      </c>
      <c r="B44" s="40" t="s">
        <v>21</v>
      </c>
      <c r="C44" s="40" t="s">
        <v>22</v>
      </c>
      <c r="D44" s="39" t="s">
        <v>149</v>
      </c>
      <c r="E44" s="41"/>
      <c r="F44" s="42" t="s">
        <v>150</v>
      </c>
      <c r="G44" s="43" t="s">
        <v>25</v>
      </c>
      <c r="H44" s="43" t="s">
        <v>151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4"/>
      <c r="AO44" s="41"/>
      <c r="AP44" s="13"/>
      <c r="AQ44" s="13"/>
      <c r="AR44" s="13"/>
      <c r="AS44" s="13"/>
      <c r="AT44" s="13"/>
      <c r="AU44" s="14"/>
      <c r="AV44" s="41"/>
      <c r="AW44" s="13"/>
      <c r="AX44" s="13"/>
      <c r="AY44" s="13"/>
      <c r="AZ44" s="13"/>
      <c r="BA44" s="13"/>
      <c r="BB44" s="14"/>
      <c r="BC44" s="41"/>
      <c r="BD44" s="13"/>
      <c r="BE44" s="13"/>
      <c r="BF44" s="13"/>
      <c r="BG44" s="13"/>
      <c r="BH44" s="13"/>
      <c r="BI44" s="14"/>
      <c r="BJ44" s="44"/>
      <c r="BK44" s="13"/>
      <c r="BL44" s="13"/>
      <c r="BM44" s="13"/>
      <c r="BN44" s="13"/>
      <c r="BO44" s="13"/>
      <c r="BP44" s="13"/>
      <c r="BQ44" s="13"/>
      <c r="BR44" s="14"/>
      <c r="BS44" s="4"/>
      <c r="BT44" s="16"/>
      <c r="BU44" s="16"/>
    </row>
    <row r="45" ht="29.25" customHeight="1">
      <c r="A45" s="38">
        <f t="shared" si="1"/>
        <v>39</v>
      </c>
      <c r="B45" s="39" t="s">
        <v>21</v>
      </c>
      <c r="C45" s="40" t="s">
        <v>22</v>
      </c>
      <c r="D45" s="39" t="s">
        <v>152</v>
      </c>
      <c r="E45" s="41"/>
      <c r="F45" s="42" t="s">
        <v>153</v>
      </c>
      <c r="G45" s="15" t="s">
        <v>25</v>
      </c>
      <c r="H45" s="15" t="s">
        <v>154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4"/>
      <c r="AO45" s="41"/>
      <c r="AP45" s="13"/>
      <c r="AQ45" s="13"/>
      <c r="AR45" s="13"/>
      <c r="AS45" s="13"/>
      <c r="AT45" s="13"/>
      <c r="AU45" s="14"/>
      <c r="AV45" s="41"/>
      <c r="AW45" s="13"/>
      <c r="AX45" s="13"/>
      <c r="AY45" s="13"/>
      <c r="AZ45" s="13"/>
      <c r="BA45" s="13"/>
      <c r="BB45" s="14"/>
      <c r="BC45" s="41"/>
      <c r="BD45" s="13"/>
      <c r="BE45" s="13"/>
      <c r="BF45" s="13"/>
      <c r="BG45" s="13"/>
      <c r="BH45" s="13"/>
      <c r="BI45" s="14"/>
      <c r="BJ45" s="44"/>
      <c r="BK45" s="13"/>
      <c r="BL45" s="13"/>
      <c r="BM45" s="13"/>
      <c r="BN45" s="13"/>
      <c r="BO45" s="13"/>
      <c r="BP45" s="13"/>
      <c r="BQ45" s="13"/>
      <c r="BR45" s="14"/>
      <c r="BS45" s="4" t="str">
        <f t="shared" ref="BS45:BS46" si="3">B45&amp;C45&amp;D45</f>
        <v>ECL039</v>
      </c>
      <c r="BT45" s="16"/>
      <c r="BU45" s="16"/>
    </row>
    <row r="46" ht="29.25" customHeight="1">
      <c r="A46" s="38">
        <f t="shared" si="1"/>
        <v>40</v>
      </c>
      <c r="B46" s="39" t="s">
        <v>21</v>
      </c>
      <c r="C46" s="40" t="s">
        <v>22</v>
      </c>
      <c r="D46" s="39" t="s">
        <v>155</v>
      </c>
      <c r="E46" s="41"/>
      <c r="F46" s="42" t="s">
        <v>156</v>
      </c>
      <c r="G46" s="15" t="s">
        <v>25</v>
      </c>
      <c r="H46" s="43" t="s">
        <v>157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4"/>
      <c r="AO46" s="41"/>
      <c r="AP46" s="13"/>
      <c r="AQ46" s="13"/>
      <c r="AR46" s="13"/>
      <c r="AS46" s="13"/>
      <c r="AT46" s="13"/>
      <c r="AU46" s="14"/>
      <c r="AV46" s="41"/>
      <c r="AW46" s="13"/>
      <c r="AX46" s="13"/>
      <c r="AY46" s="13"/>
      <c r="AZ46" s="13"/>
      <c r="BA46" s="13"/>
      <c r="BB46" s="14"/>
      <c r="BC46" s="41"/>
      <c r="BD46" s="13"/>
      <c r="BE46" s="13"/>
      <c r="BF46" s="13"/>
      <c r="BG46" s="13"/>
      <c r="BH46" s="13"/>
      <c r="BI46" s="14"/>
      <c r="BJ46" s="44"/>
      <c r="BK46" s="13"/>
      <c r="BL46" s="13"/>
      <c r="BM46" s="13"/>
      <c r="BN46" s="13"/>
      <c r="BO46" s="13"/>
      <c r="BP46" s="13"/>
      <c r="BQ46" s="13"/>
      <c r="BR46" s="14"/>
      <c r="BS46" s="4" t="str">
        <f t="shared" si="3"/>
        <v>ECL040</v>
      </c>
      <c r="BT46" s="16"/>
      <c r="BU46" s="16"/>
    </row>
    <row r="47" ht="29.25" customHeight="1">
      <c r="A47" s="38">
        <f t="shared" si="1"/>
        <v>41</v>
      </c>
      <c r="B47" s="39" t="s">
        <v>21</v>
      </c>
      <c r="C47" s="40" t="s">
        <v>22</v>
      </c>
      <c r="D47" s="39" t="s">
        <v>158</v>
      </c>
      <c r="E47" s="41"/>
      <c r="F47" s="42" t="s">
        <v>159</v>
      </c>
      <c r="G47" s="15" t="s">
        <v>25</v>
      </c>
      <c r="H47" s="15" t="s">
        <v>160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4"/>
      <c r="AO47" s="41"/>
      <c r="AP47" s="13"/>
      <c r="AQ47" s="13"/>
      <c r="AR47" s="13"/>
      <c r="AS47" s="13"/>
      <c r="AT47" s="13"/>
      <c r="AU47" s="14"/>
      <c r="AV47" s="41"/>
      <c r="AW47" s="13"/>
      <c r="AX47" s="13"/>
      <c r="AY47" s="13"/>
      <c r="AZ47" s="13"/>
      <c r="BA47" s="13"/>
      <c r="BB47" s="14"/>
      <c r="BC47" s="41"/>
      <c r="BD47" s="13"/>
      <c r="BE47" s="13"/>
      <c r="BF47" s="13"/>
      <c r="BG47" s="13"/>
      <c r="BH47" s="13"/>
      <c r="BI47" s="14"/>
      <c r="BJ47" s="44"/>
      <c r="BK47" s="13"/>
      <c r="BL47" s="13"/>
      <c r="BM47" s="13"/>
      <c r="BN47" s="13"/>
      <c r="BO47" s="13"/>
      <c r="BP47" s="13"/>
      <c r="BQ47" s="13"/>
      <c r="BR47" s="14"/>
      <c r="BS47" s="4" t="str">
        <f>CONCATENATE(B47,C47,D47)</f>
        <v>ECL041</v>
      </c>
      <c r="BT47" s="16"/>
      <c r="BU47" s="16"/>
    </row>
    <row r="48" ht="29.25" customHeight="1">
      <c r="A48" s="38">
        <f t="shared" si="1"/>
        <v>42</v>
      </c>
      <c r="B48" s="40" t="s">
        <v>60</v>
      </c>
      <c r="C48" s="40" t="s">
        <v>22</v>
      </c>
      <c r="D48" s="39" t="s">
        <v>161</v>
      </c>
      <c r="E48" s="41"/>
      <c r="F48" s="42" t="s">
        <v>162</v>
      </c>
      <c r="G48" s="43" t="s">
        <v>63</v>
      </c>
      <c r="H48" s="43" t="s">
        <v>163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2"/>
      <c r="AO48" s="41"/>
      <c r="AP48" s="45"/>
      <c r="AQ48" s="45"/>
      <c r="AR48" s="45"/>
      <c r="AS48" s="45"/>
      <c r="AT48" s="45"/>
      <c r="AU48" s="46"/>
      <c r="AV48" s="41"/>
      <c r="AW48" s="45"/>
      <c r="AX48" s="45"/>
      <c r="AY48" s="45"/>
      <c r="AZ48" s="45"/>
      <c r="BA48" s="45"/>
      <c r="BB48" s="46"/>
      <c r="BC48" s="41"/>
      <c r="BD48" s="45"/>
      <c r="BE48" s="45"/>
      <c r="BF48" s="45"/>
      <c r="BG48" s="45"/>
      <c r="BH48" s="45"/>
      <c r="BI48" s="46"/>
      <c r="BJ48" s="44"/>
      <c r="BK48" s="47"/>
      <c r="BL48" s="47"/>
      <c r="BM48" s="47"/>
      <c r="BN48" s="47"/>
      <c r="BO48" s="47"/>
      <c r="BP48" s="47"/>
      <c r="BQ48" s="47"/>
      <c r="BR48" s="48"/>
      <c r="BS48" s="4"/>
      <c r="BT48" s="4"/>
      <c r="BU48" s="4"/>
    </row>
    <row r="49" ht="29.25" customHeight="1">
      <c r="A49" s="38">
        <f t="shared" si="1"/>
        <v>43</v>
      </c>
      <c r="B49" s="40" t="s">
        <v>21</v>
      </c>
      <c r="C49" s="40" t="s">
        <v>22</v>
      </c>
      <c r="D49" s="39" t="s">
        <v>164</v>
      </c>
      <c r="E49" s="41"/>
      <c r="F49" s="42" t="s">
        <v>165</v>
      </c>
      <c r="G49" s="43" t="s">
        <v>25</v>
      </c>
      <c r="H49" s="43" t="s">
        <v>166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2"/>
      <c r="AO49" s="41"/>
      <c r="AP49" s="45"/>
      <c r="AQ49" s="45"/>
      <c r="AR49" s="45"/>
      <c r="AS49" s="45"/>
      <c r="AT49" s="45"/>
      <c r="AU49" s="46"/>
      <c r="AV49" s="41"/>
      <c r="AW49" s="45"/>
      <c r="AX49" s="45"/>
      <c r="AY49" s="45"/>
      <c r="AZ49" s="45"/>
      <c r="BA49" s="45"/>
      <c r="BB49" s="46"/>
      <c r="BC49" s="41"/>
      <c r="BD49" s="45"/>
      <c r="BE49" s="45"/>
      <c r="BF49" s="45"/>
      <c r="BG49" s="45"/>
      <c r="BH49" s="45"/>
      <c r="BI49" s="46"/>
      <c r="BJ49" s="44"/>
      <c r="BK49" s="47"/>
      <c r="BL49" s="47"/>
      <c r="BM49" s="47"/>
      <c r="BN49" s="47"/>
      <c r="BO49" s="47"/>
      <c r="BP49" s="47"/>
      <c r="BQ49" s="47"/>
      <c r="BR49" s="48"/>
      <c r="BS49" s="4"/>
      <c r="BT49" s="4"/>
      <c r="BU49" s="4"/>
    </row>
    <row r="50" ht="29.25" customHeight="1">
      <c r="A50" s="38">
        <f t="shared" si="1"/>
        <v>44</v>
      </c>
      <c r="B50" s="40" t="s">
        <v>21</v>
      </c>
      <c r="C50" s="40" t="s">
        <v>22</v>
      </c>
      <c r="D50" s="39" t="s">
        <v>167</v>
      </c>
      <c r="E50" s="41"/>
      <c r="F50" s="42" t="s">
        <v>168</v>
      </c>
      <c r="G50" s="43" t="s">
        <v>25</v>
      </c>
      <c r="H50" s="43" t="s">
        <v>169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2"/>
      <c r="AO50" s="49" t="s">
        <v>27</v>
      </c>
      <c r="AP50" s="45"/>
      <c r="AQ50" s="45"/>
      <c r="AR50" s="45"/>
      <c r="AS50" s="45"/>
      <c r="AT50" s="45"/>
      <c r="AU50" s="46"/>
      <c r="AV50" s="41"/>
      <c r="AW50" s="45"/>
      <c r="AX50" s="45"/>
      <c r="AY50" s="45"/>
      <c r="AZ50" s="45"/>
      <c r="BA50" s="45"/>
      <c r="BB50" s="46"/>
      <c r="BC50" s="41"/>
      <c r="BD50" s="45"/>
      <c r="BE50" s="45"/>
      <c r="BF50" s="45"/>
      <c r="BG50" s="45"/>
      <c r="BH50" s="45"/>
      <c r="BI50" s="46"/>
      <c r="BJ50" s="44"/>
      <c r="BK50" s="47"/>
      <c r="BL50" s="47"/>
      <c r="BM50" s="47"/>
      <c r="BN50" s="47"/>
      <c r="BO50" s="47"/>
      <c r="BP50" s="47"/>
      <c r="BQ50" s="47"/>
      <c r="BR50" s="48"/>
      <c r="BS50" s="4"/>
      <c r="BT50" s="4"/>
      <c r="BU50" s="4"/>
    </row>
    <row r="51" ht="29.25" customHeight="1">
      <c r="A51" s="38">
        <f t="shared" si="1"/>
        <v>45</v>
      </c>
      <c r="B51" s="40" t="s">
        <v>21</v>
      </c>
      <c r="C51" s="40" t="s">
        <v>22</v>
      </c>
      <c r="D51" s="39" t="s">
        <v>170</v>
      </c>
      <c r="E51" s="41"/>
      <c r="F51" s="42" t="s">
        <v>171</v>
      </c>
      <c r="G51" s="43" t="s">
        <v>25</v>
      </c>
      <c r="H51" s="43" t="s">
        <v>172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2"/>
      <c r="AO51" s="49"/>
      <c r="AP51" s="45"/>
      <c r="AQ51" s="45"/>
      <c r="AR51" s="45"/>
      <c r="AS51" s="45"/>
      <c r="AT51" s="45"/>
      <c r="AU51" s="46"/>
      <c r="AV51" s="41"/>
      <c r="AW51" s="45"/>
      <c r="AX51" s="45"/>
      <c r="AY51" s="45"/>
      <c r="AZ51" s="45"/>
      <c r="BA51" s="45"/>
      <c r="BB51" s="46"/>
      <c r="BC51" s="41"/>
      <c r="BD51" s="45"/>
      <c r="BE51" s="45"/>
      <c r="BF51" s="45"/>
      <c r="BG51" s="45"/>
      <c r="BH51" s="45"/>
      <c r="BI51" s="46"/>
      <c r="BJ51" s="44"/>
      <c r="BK51" s="47"/>
      <c r="BL51" s="47"/>
      <c r="BM51" s="47"/>
      <c r="BN51" s="47"/>
      <c r="BO51" s="47"/>
      <c r="BP51" s="47"/>
      <c r="BQ51" s="47"/>
      <c r="BR51" s="48"/>
      <c r="BS51" s="4" t="str">
        <f t="shared" ref="BS51:BS56" si="4">CONCATENATE(B51,C51,D51)</f>
        <v>ECL045</v>
      </c>
      <c r="BT51" s="4"/>
      <c r="BU51" s="4"/>
    </row>
    <row r="52" ht="29.25" customHeight="1">
      <c r="A52" s="38">
        <f t="shared" si="1"/>
        <v>46</v>
      </c>
      <c r="B52" s="40" t="s">
        <v>60</v>
      </c>
      <c r="C52" s="40" t="s">
        <v>22</v>
      </c>
      <c r="D52" s="39" t="s">
        <v>173</v>
      </c>
      <c r="E52" s="41"/>
      <c r="F52" s="42" t="s">
        <v>174</v>
      </c>
      <c r="G52" s="43" t="s">
        <v>63</v>
      </c>
      <c r="H52" s="43" t="s">
        <v>175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2"/>
      <c r="AO52" s="49"/>
      <c r="AP52" s="45"/>
      <c r="AQ52" s="45"/>
      <c r="AR52" s="45"/>
      <c r="AS52" s="45"/>
      <c r="AT52" s="45"/>
      <c r="AU52" s="46"/>
      <c r="AV52" s="41"/>
      <c r="AW52" s="45"/>
      <c r="AX52" s="45"/>
      <c r="AY52" s="45"/>
      <c r="AZ52" s="45"/>
      <c r="BA52" s="45"/>
      <c r="BB52" s="46"/>
      <c r="BC52" s="41"/>
      <c r="BD52" s="45"/>
      <c r="BE52" s="45"/>
      <c r="BF52" s="45"/>
      <c r="BG52" s="45"/>
      <c r="BH52" s="45"/>
      <c r="BI52" s="46"/>
      <c r="BJ52" s="44"/>
      <c r="BK52" s="47"/>
      <c r="BL52" s="47"/>
      <c r="BM52" s="47"/>
      <c r="BN52" s="47"/>
      <c r="BO52" s="47"/>
      <c r="BP52" s="47"/>
      <c r="BQ52" s="47"/>
      <c r="BR52" s="48"/>
      <c r="BS52" s="4" t="str">
        <f t="shared" si="4"/>
        <v>ICL046</v>
      </c>
      <c r="BT52" s="4"/>
      <c r="BU52" s="4"/>
    </row>
    <row r="53" ht="29.25" customHeight="1">
      <c r="A53" s="38">
        <f t="shared" si="1"/>
        <v>47</v>
      </c>
      <c r="B53" s="40" t="s">
        <v>21</v>
      </c>
      <c r="C53" s="40" t="s">
        <v>22</v>
      </c>
      <c r="D53" s="39" t="s">
        <v>176</v>
      </c>
      <c r="E53" s="41"/>
      <c r="F53" s="42" t="s">
        <v>177</v>
      </c>
      <c r="G53" s="43" t="s">
        <v>25</v>
      </c>
      <c r="H53" s="43" t="s">
        <v>178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2"/>
      <c r="AO53" s="49"/>
      <c r="AP53" s="45"/>
      <c r="AQ53" s="45"/>
      <c r="AR53" s="45"/>
      <c r="AS53" s="45"/>
      <c r="AT53" s="45"/>
      <c r="AU53" s="46"/>
      <c r="AV53" s="41"/>
      <c r="AW53" s="45"/>
      <c r="AX53" s="45"/>
      <c r="AY53" s="45"/>
      <c r="AZ53" s="45"/>
      <c r="BA53" s="45"/>
      <c r="BB53" s="46"/>
      <c r="BC53" s="41"/>
      <c r="BD53" s="45"/>
      <c r="BE53" s="45"/>
      <c r="BF53" s="45"/>
      <c r="BG53" s="45"/>
      <c r="BH53" s="45"/>
      <c r="BI53" s="46"/>
      <c r="BJ53" s="44"/>
      <c r="BK53" s="47"/>
      <c r="BL53" s="47"/>
      <c r="BM53" s="47"/>
      <c r="BN53" s="47"/>
      <c r="BO53" s="47"/>
      <c r="BP53" s="47"/>
      <c r="BQ53" s="47"/>
      <c r="BR53" s="48"/>
      <c r="BS53" s="4" t="str">
        <f t="shared" si="4"/>
        <v>ECL047</v>
      </c>
      <c r="BT53" s="4"/>
      <c r="BU53" s="4"/>
    </row>
    <row r="54" ht="29.25" customHeight="1">
      <c r="A54" s="38">
        <f t="shared" si="1"/>
        <v>48</v>
      </c>
      <c r="B54" s="40" t="s">
        <v>21</v>
      </c>
      <c r="C54" s="40" t="s">
        <v>22</v>
      </c>
      <c r="D54" s="39" t="s">
        <v>179</v>
      </c>
      <c r="E54" s="41"/>
      <c r="F54" s="42" t="s">
        <v>180</v>
      </c>
      <c r="G54" s="43" t="s">
        <v>25</v>
      </c>
      <c r="H54" s="43" t="s">
        <v>181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2"/>
      <c r="AO54" s="49"/>
      <c r="AP54" s="45"/>
      <c r="AQ54" s="45"/>
      <c r="AR54" s="45"/>
      <c r="AS54" s="45"/>
      <c r="AT54" s="45"/>
      <c r="AU54" s="46"/>
      <c r="AV54" s="41"/>
      <c r="AW54" s="45"/>
      <c r="AX54" s="45"/>
      <c r="AY54" s="45"/>
      <c r="AZ54" s="45"/>
      <c r="BA54" s="45"/>
      <c r="BB54" s="46"/>
      <c r="BC54" s="41"/>
      <c r="BD54" s="45"/>
      <c r="BE54" s="45"/>
      <c r="BF54" s="45"/>
      <c r="BG54" s="45"/>
      <c r="BH54" s="45"/>
      <c r="BI54" s="46"/>
      <c r="BJ54" s="44"/>
      <c r="BK54" s="47"/>
      <c r="BL54" s="47"/>
      <c r="BM54" s="47"/>
      <c r="BN54" s="47"/>
      <c r="BO54" s="47"/>
      <c r="BP54" s="47"/>
      <c r="BQ54" s="47"/>
      <c r="BR54" s="48"/>
      <c r="BS54" s="4" t="str">
        <f t="shared" si="4"/>
        <v>ECL048</v>
      </c>
      <c r="BT54" s="4"/>
      <c r="BU54" s="4"/>
    </row>
    <row r="55" ht="29.25" customHeight="1">
      <c r="A55" s="38">
        <f t="shared" si="1"/>
        <v>49</v>
      </c>
      <c r="B55" s="40" t="s">
        <v>60</v>
      </c>
      <c r="C55" s="40" t="s">
        <v>22</v>
      </c>
      <c r="D55" s="40" t="s">
        <v>182</v>
      </c>
      <c r="E55" s="41"/>
      <c r="F55" s="42" t="s">
        <v>183</v>
      </c>
      <c r="G55" s="43" t="s">
        <v>63</v>
      </c>
      <c r="H55" s="43" t="s">
        <v>184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2"/>
      <c r="AO55" s="49"/>
      <c r="AP55" s="45"/>
      <c r="AQ55" s="45"/>
      <c r="AR55" s="45"/>
      <c r="AS55" s="45"/>
      <c r="AT55" s="45"/>
      <c r="AU55" s="46"/>
      <c r="AV55" s="41"/>
      <c r="AW55" s="45"/>
      <c r="AX55" s="45"/>
      <c r="AY55" s="45"/>
      <c r="AZ55" s="45"/>
      <c r="BA55" s="45"/>
      <c r="BB55" s="46"/>
      <c r="BC55" s="41"/>
      <c r="BD55" s="45"/>
      <c r="BE55" s="45"/>
      <c r="BF55" s="45"/>
      <c r="BG55" s="45"/>
      <c r="BH55" s="45"/>
      <c r="BI55" s="46"/>
      <c r="BJ55" s="44"/>
      <c r="BK55" s="47"/>
      <c r="BL55" s="47"/>
      <c r="BM55" s="47"/>
      <c r="BN55" s="47"/>
      <c r="BO55" s="47"/>
      <c r="BP55" s="47"/>
      <c r="BQ55" s="47"/>
      <c r="BR55" s="48"/>
      <c r="BS55" s="4" t="str">
        <f t="shared" si="4"/>
        <v>ICL049</v>
      </c>
      <c r="BT55" s="4"/>
      <c r="BU55" s="4"/>
    </row>
    <row r="56" ht="29.25" customHeight="1">
      <c r="A56" s="38">
        <f t="shared" si="1"/>
        <v>50</v>
      </c>
      <c r="B56" s="40" t="s">
        <v>60</v>
      </c>
      <c r="C56" s="40" t="s">
        <v>22</v>
      </c>
      <c r="D56" s="40" t="s">
        <v>185</v>
      </c>
      <c r="E56" s="41"/>
      <c r="F56" s="42" t="s">
        <v>186</v>
      </c>
      <c r="G56" s="43" t="s">
        <v>63</v>
      </c>
      <c r="H56" s="43" t="s">
        <v>187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2"/>
      <c r="AO56" s="49"/>
      <c r="AP56" s="45"/>
      <c r="AQ56" s="45"/>
      <c r="AR56" s="45"/>
      <c r="AS56" s="45"/>
      <c r="AT56" s="45"/>
      <c r="AU56" s="46"/>
      <c r="AV56" s="41"/>
      <c r="AW56" s="45"/>
      <c r="AX56" s="45"/>
      <c r="AY56" s="45"/>
      <c r="AZ56" s="45"/>
      <c r="BA56" s="45"/>
      <c r="BB56" s="46"/>
      <c r="BC56" s="41"/>
      <c r="BD56" s="45"/>
      <c r="BE56" s="45"/>
      <c r="BF56" s="45"/>
      <c r="BG56" s="45"/>
      <c r="BH56" s="45"/>
      <c r="BI56" s="46"/>
      <c r="BJ56" s="44"/>
      <c r="BK56" s="47"/>
      <c r="BL56" s="47"/>
      <c r="BM56" s="47"/>
      <c r="BN56" s="47"/>
      <c r="BO56" s="47"/>
      <c r="BP56" s="47"/>
      <c r="BQ56" s="47"/>
      <c r="BR56" s="48"/>
      <c r="BS56" s="4" t="str">
        <f t="shared" si="4"/>
        <v>ICL050</v>
      </c>
      <c r="BT56" s="4"/>
      <c r="BU56" s="4"/>
    </row>
  </sheetData>
  <mergeCells count="222">
    <mergeCell ref="H30:AN30"/>
    <mergeCell ref="AO30:AU30"/>
    <mergeCell ref="AV30:BB30"/>
    <mergeCell ref="BC30:BI30"/>
    <mergeCell ref="BJ30:BR30"/>
    <mergeCell ref="AO31:AU31"/>
    <mergeCell ref="BJ31:BR31"/>
    <mergeCell ref="BC33:BI33"/>
    <mergeCell ref="BJ33:BR33"/>
    <mergeCell ref="H31:AN31"/>
    <mergeCell ref="H32:AN32"/>
    <mergeCell ref="AO32:AU32"/>
    <mergeCell ref="AV32:BB32"/>
    <mergeCell ref="BC32:BI32"/>
    <mergeCell ref="BJ32:BR32"/>
    <mergeCell ref="H33:AN33"/>
    <mergeCell ref="AV27:BB27"/>
    <mergeCell ref="BC27:BI27"/>
    <mergeCell ref="H26:AN26"/>
    <mergeCell ref="AO26:AU26"/>
    <mergeCell ref="AV26:BB26"/>
    <mergeCell ref="BC26:BI26"/>
    <mergeCell ref="BJ26:BR26"/>
    <mergeCell ref="AO27:AU27"/>
    <mergeCell ref="BJ27:BR27"/>
    <mergeCell ref="AO29:AU29"/>
    <mergeCell ref="AV29:BB29"/>
    <mergeCell ref="BC29:BI29"/>
    <mergeCell ref="BJ29:BR29"/>
    <mergeCell ref="H27:AN27"/>
    <mergeCell ref="H28:AN28"/>
    <mergeCell ref="AO28:AU28"/>
    <mergeCell ref="AV28:BB28"/>
    <mergeCell ref="BC28:BI28"/>
    <mergeCell ref="BJ28:BR28"/>
    <mergeCell ref="H29:AN29"/>
    <mergeCell ref="AV31:BB31"/>
    <mergeCell ref="BC31:BI31"/>
    <mergeCell ref="AO33:AU33"/>
    <mergeCell ref="AV33:BB33"/>
    <mergeCell ref="H34:AN34"/>
    <mergeCell ref="AO34:AU34"/>
    <mergeCell ref="AV34:BB34"/>
    <mergeCell ref="BC34:BI34"/>
    <mergeCell ref="BJ34:BR34"/>
    <mergeCell ref="H39:AN39"/>
    <mergeCell ref="AO39:AU39"/>
    <mergeCell ref="AV39:BB39"/>
    <mergeCell ref="BC39:BI39"/>
    <mergeCell ref="BJ39:BR39"/>
    <mergeCell ref="AO40:AU40"/>
    <mergeCell ref="BJ40:BR40"/>
    <mergeCell ref="BC42:BI42"/>
    <mergeCell ref="BJ42:BR42"/>
    <mergeCell ref="H40:AN40"/>
    <mergeCell ref="H41:AN41"/>
    <mergeCell ref="AO41:AU41"/>
    <mergeCell ref="AV41:BB41"/>
    <mergeCell ref="BC41:BI41"/>
    <mergeCell ref="BJ41:BR41"/>
    <mergeCell ref="H42:AN42"/>
    <mergeCell ref="AV36:BB36"/>
    <mergeCell ref="BC36:BI36"/>
    <mergeCell ref="H35:AN35"/>
    <mergeCell ref="AO35:AU35"/>
    <mergeCell ref="AV35:BB35"/>
    <mergeCell ref="BC35:BI35"/>
    <mergeCell ref="BJ35:BR35"/>
    <mergeCell ref="AO36:AU36"/>
    <mergeCell ref="BJ36:BR36"/>
    <mergeCell ref="AO38:AU38"/>
    <mergeCell ref="AV38:BB38"/>
    <mergeCell ref="BC38:BI38"/>
    <mergeCell ref="BJ38:BR38"/>
    <mergeCell ref="H36:AN36"/>
    <mergeCell ref="H37:AN37"/>
    <mergeCell ref="AO37:AU37"/>
    <mergeCell ref="AV37:BB37"/>
    <mergeCell ref="BC37:BI37"/>
    <mergeCell ref="BJ37:BR37"/>
    <mergeCell ref="H38:AN38"/>
    <mergeCell ref="AV40:BB40"/>
    <mergeCell ref="BC40:BI40"/>
    <mergeCell ref="AO42:AU42"/>
    <mergeCell ref="AV42:BB42"/>
    <mergeCell ref="H43:AN43"/>
    <mergeCell ref="AO43:AU43"/>
    <mergeCell ref="AV43:BB43"/>
    <mergeCell ref="BC43:BI43"/>
    <mergeCell ref="BJ43:BR43"/>
    <mergeCell ref="AO8:AU8"/>
    <mergeCell ref="AV8:BB8"/>
    <mergeCell ref="BC8:BI8"/>
    <mergeCell ref="BJ8:BR8"/>
    <mergeCell ref="AV9:BB9"/>
    <mergeCell ref="BC9:BI9"/>
    <mergeCell ref="BJ9:BR9"/>
    <mergeCell ref="AO13:AU13"/>
    <mergeCell ref="AV13:BB13"/>
    <mergeCell ref="BC13:BI13"/>
    <mergeCell ref="BJ13:BR13"/>
    <mergeCell ref="AO14:AU14"/>
    <mergeCell ref="AV14:BB14"/>
    <mergeCell ref="BC14:BI14"/>
    <mergeCell ref="BJ14:BR14"/>
    <mergeCell ref="AO9:AU9"/>
    <mergeCell ref="AO10:AU10"/>
    <mergeCell ref="AV10:BB10"/>
    <mergeCell ref="BC10:BI10"/>
    <mergeCell ref="BJ10:BR10"/>
    <mergeCell ref="AO11:AU11"/>
    <mergeCell ref="AV11:BB11"/>
    <mergeCell ref="E4:E6"/>
    <mergeCell ref="F4:F6"/>
    <mergeCell ref="BL2:BR2"/>
    <mergeCell ref="BJ4:BR6"/>
    <mergeCell ref="BJ7:BR7"/>
    <mergeCell ref="B5:B6"/>
    <mergeCell ref="C5:C6"/>
    <mergeCell ref="A1:I2"/>
    <mergeCell ref="AZ1:BF1"/>
    <mergeCell ref="BL1:BR1"/>
    <mergeCell ref="AZ2:BF2"/>
    <mergeCell ref="A4:A6"/>
    <mergeCell ref="B4:D4"/>
    <mergeCell ref="D5:D6"/>
    <mergeCell ref="AO4:BI4"/>
    <mergeCell ref="AO5:AU6"/>
    <mergeCell ref="AV5:BB6"/>
    <mergeCell ref="BC5:BI6"/>
    <mergeCell ref="AO7:AU7"/>
    <mergeCell ref="AV7:BB7"/>
    <mergeCell ref="BC7:BI7"/>
    <mergeCell ref="BC11:BI11"/>
    <mergeCell ref="BJ11:BR11"/>
    <mergeCell ref="AO12:AU12"/>
    <mergeCell ref="AV12:BB12"/>
    <mergeCell ref="BC12:BI12"/>
    <mergeCell ref="BJ12:BR12"/>
    <mergeCell ref="G4:G6"/>
    <mergeCell ref="H4:AN6"/>
    <mergeCell ref="H7:AN7"/>
    <mergeCell ref="H8:AN8"/>
    <mergeCell ref="H9:AN9"/>
    <mergeCell ref="H10:AN10"/>
    <mergeCell ref="H11:AN11"/>
    <mergeCell ref="H17:AN17"/>
    <mergeCell ref="AO17:AU17"/>
    <mergeCell ref="AV17:BB17"/>
    <mergeCell ref="BC17:BI17"/>
    <mergeCell ref="BJ17:BR17"/>
    <mergeCell ref="AO18:AU18"/>
    <mergeCell ref="BJ18:BR18"/>
    <mergeCell ref="H18:AN18"/>
    <mergeCell ref="H19:AN19"/>
    <mergeCell ref="AO19:AU19"/>
    <mergeCell ref="AV19:BB19"/>
    <mergeCell ref="BC19:BI19"/>
    <mergeCell ref="BJ19:BR19"/>
    <mergeCell ref="H20:AN20"/>
    <mergeCell ref="AV22:BB22"/>
    <mergeCell ref="BC22:BI22"/>
    <mergeCell ref="H21:AN21"/>
    <mergeCell ref="AO21:AU21"/>
    <mergeCell ref="AV21:BB21"/>
    <mergeCell ref="BC21:BI21"/>
    <mergeCell ref="BJ21:BR21"/>
    <mergeCell ref="AO22:AU22"/>
    <mergeCell ref="BJ22:BR22"/>
    <mergeCell ref="BC24:BI24"/>
    <mergeCell ref="BJ24:BR24"/>
    <mergeCell ref="H22:AN22"/>
    <mergeCell ref="H23:AN23"/>
    <mergeCell ref="AO23:AU23"/>
    <mergeCell ref="AV23:BB23"/>
    <mergeCell ref="BC23:BI23"/>
    <mergeCell ref="BJ23:BR23"/>
    <mergeCell ref="H24:AN24"/>
    <mergeCell ref="AO16:AU16"/>
    <mergeCell ref="AV16:BB16"/>
    <mergeCell ref="BC16:BI16"/>
    <mergeCell ref="BJ16:BR16"/>
    <mergeCell ref="H12:AN12"/>
    <mergeCell ref="H15:AN15"/>
    <mergeCell ref="AO15:AU15"/>
    <mergeCell ref="AV15:BB15"/>
    <mergeCell ref="BC15:BI15"/>
    <mergeCell ref="BJ15:BR15"/>
    <mergeCell ref="H16:AN16"/>
    <mergeCell ref="AV18:BB18"/>
    <mergeCell ref="BC18:BI18"/>
    <mergeCell ref="AO20:AU20"/>
    <mergeCell ref="AV20:BB20"/>
    <mergeCell ref="BC20:BI20"/>
    <mergeCell ref="BJ20:BR20"/>
    <mergeCell ref="AO24:AU24"/>
    <mergeCell ref="AV24:BB24"/>
    <mergeCell ref="H25:AN25"/>
    <mergeCell ref="AO25:AU25"/>
    <mergeCell ref="AV25:BB25"/>
    <mergeCell ref="BC25:BI25"/>
    <mergeCell ref="BJ25:BR25"/>
    <mergeCell ref="AV45:BB45"/>
    <mergeCell ref="BC45:BI45"/>
    <mergeCell ref="H44:AN44"/>
    <mergeCell ref="AO44:AU44"/>
    <mergeCell ref="AV44:BB44"/>
    <mergeCell ref="BC44:BI44"/>
    <mergeCell ref="BJ44:BR44"/>
    <mergeCell ref="AO45:AU45"/>
    <mergeCell ref="BJ45:BR45"/>
    <mergeCell ref="AO47:AU47"/>
    <mergeCell ref="AV47:BB47"/>
    <mergeCell ref="BC47:BI47"/>
    <mergeCell ref="BJ47:BR47"/>
    <mergeCell ref="H45:AN45"/>
    <mergeCell ref="H46:AN46"/>
    <mergeCell ref="AO46:AU46"/>
    <mergeCell ref="AV46:BB46"/>
    <mergeCell ref="BC46:BI46"/>
    <mergeCell ref="BJ46:BR46"/>
    <mergeCell ref="H47:AN47"/>
  </mergeCells>
  <dataValidations>
    <dataValidation type="list" allowBlank="1" showErrorMessage="1" sqref="B7:B56">
      <formula1>"I,E,W,F"</formula1>
    </dataValidation>
    <dataValidation type="list" allowBlank="1" showErrorMessage="1" sqref="C7:C56">
      <formula1>"BT,CL,SV"</formula1>
    </dataValidation>
    <dataValidation type="list" allowBlank="1" showErrorMessage="1" sqref="G7:G56">
      <formula1>"INFO,ERROR,WARN,FATAL"</formula1>
    </dataValidation>
  </dataValidations>
  <printOptions/>
  <pageMargins bottom="0.5905511811023623" footer="0.0" header="0.0" left="0.7874015748031497" right="0.7874015748031497" top="0.3937007874015748"/>
  <pageSetup fitToHeight="0" paperSize="9" orientation="portrait"/>
  <headerFooter>
    <oddFooter>&amp;L&amp;F&amp;C&amp;P/&amp;R&amp;A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34.0"/>
    <col customWidth="1" min="4" max="4" width="35.88"/>
  </cols>
  <sheetData>
    <row r="1">
      <c r="A1" s="50" t="s">
        <v>188</v>
      </c>
      <c r="B1" s="50" t="s">
        <v>189</v>
      </c>
      <c r="C1" s="50" t="s">
        <v>10</v>
      </c>
      <c r="D1" s="50" t="s">
        <v>190</v>
      </c>
      <c r="E1" s="51" t="s">
        <v>191</v>
      </c>
      <c r="F1" s="51" t="s">
        <v>192</v>
      </c>
      <c r="G1" s="51" t="s">
        <v>193</v>
      </c>
      <c r="H1" s="51" t="s">
        <v>14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ht="27.75" customHeight="1">
      <c r="A2" s="53">
        <f t="shared" ref="A2:A7" si="1">ROW()-1</f>
        <v>1</v>
      </c>
      <c r="B2" s="54" t="s">
        <v>194</v>
      </c>
      <c r="C2" s="54" t="s">
        <v>24</v>
      </c>
      <c r="D2" s="54" t="s">
        <v>26</v>
      </c>
      <c r="E2" s="55" t="s">
        <v>27</v>
      </c>
      <c r="F2" s="56"/>
      <c r="G2" s="56"/>
      <c r="H2" s="56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>
      <c r="A3" s="57">
        <f t="shared" si="1"/>
        <v>2</v>
      </c>
      <c r="B3" s="58" t="s">
        <v>195</v>
      </c>
      <c r="C3" s="58" t="s">
        <v>29</v>
      </c>
      <c r="D3" s="58" t="s">
        <v>30</v>
      </c>
      <c r="E3" s="59" t="s">
        <v>27</v>
      </c>
      <c r="F3" s="59" t="s">
        <v>31</v>
      </c>
      <c r="G3" s="59" t="s">
        <v>32</v>
      </c>
      <c r="H3" s="60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>
      <c r="A4" s="57">
        <f t="shared" si="1"/>
        <v>3</v>
      </c>
      <c r="B4" s="58" t="s">
        <v>196</v>
      </c>
      <c r="C4" s="58" t="s">
        <v>40</v>
      </c>
      <c r="D4" s="58" t="s">
        <v>41</v>
      </c>
      <c r="E4" s="60"/>
      <c r="F4" s="60"/>
      <c r="G4" s="60"/>
      <c r="H4" s="60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>
      <c r="A5" s="57">
        <f t="shared" si="1"/>
        <v>4</v>
      </c>
      <c r="B5" s="58" t="s">
        <v>197</v>
      </c>
      <c r="C5" s="58" t="s">
        <v>79</v>
      </c>
      <c r="D5" s="58" t="s">
        <v>77</v>
      </c>
      <c r="E5" s="60"/>
      <c r="F5" s="60"/>
      <c r="G5" s="60"/>
      <c r="H5" s="60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>
      <c r="A6" s="57">
        <f t="shared" si="1"/>
        <v>5</v>
      </c>
      <c r="B6" s="58" t="s">
        <v>198</v>
      </c>
      <c r="C6" s="58" t="s">
        <v>199</v>
      </c>
      <c r="D6" s="58" t="s">
        <v>200</v>
      </c>
      <c r="E6" s="62" t="s">
        <v>27</v>
      </c>
      <c r="F6" s="59" t="s">
        <v>201</v>
      </c>
      <c r="G6" s="60"/>
      <c r="H6" s="60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>
      <c r="A7" s="57">
        <f t="shared" si="1"/>
        <v>6</v>
      </c>
      <c r="B7" s="58" t="s">
        <v>202</v>
      </c>
      <c r="C7" s="58" t="s">
        <v>203</v>
      </c>
      <c r="D7" s="58" t="s">
        <v>204</v>
      </c>
      <c r="E7" s="60"/>
      <c r="F7" s="60"/>
      <c r="G7" s="60"/>
      <c r="H7" s="60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54">
        <v>7.0</v>
      </c>
      <c r="B8" s="54" t="s">
        <v>205</v>
      </c>
      <c r="C8" s="54" t="s">
        <v>206</v>
      </c>
      <c r="D8" s="54" t="s">
        <v>207</v>
      </c>
      <c r="E8" s="55" t="s">
        <v>27</v>
      </c>
      <c r="F8" s="56"/>
      <c r="G8" s="56"/>
      <c r="H8" s="56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>
      <c r="A9" s="58">
        <v>8.0</v>
      </c>
      <c r="B9" s="58" t="s">
        <v>208</v>
      </c>
      <c r="C9" s="58" t="s">
        <v>209</v>
      </c>
      <c r="D9" s="58" t="s">
        <v>86</v>
      </c>
      <c r="E9" s="59" t="s">
        <v>27</v>
      </c>
      <c r="F9" s="60"/>
      <c r="G9" s="60"/>
      <c r="H9" s="60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>
      <c r="A10" s="54">
        <v>9.0</v>
      </c>
      <c r="B10" s="54" t="s">
        <v>210</v>
      </c>
      <c r="C10" s="54" t="s">
        <v>156</v>
      </c>
      <c r="D10" s="54" t="s">
        <v>157</v>
      </c>
      <c r="E10" s="63"/>
      <c r="F10" s="56"/>
      <c r="G10" s="56"/>
      <c r="H10" s="56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>
      <c r="A11" s="58">
        <v>10.0</v>
      </c>
      <c r="B11" s="58" t="s">
        <v>211</v>
      </c>
      <c r="C11" s="58" t="s">
        <v>212</v>
      </c>
      <c r="D11" s="58" t="s">
        <v>50</v>
      </c>
      <c r="E11" s="59" t="s">
        <v>27</v>
      </c>
      <c r="F11" s="60"/>
      <c r="G11" s="60"/>
      <c r="H11" s="60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>
      <c r="A12" s="64"/>
      <c r="B12" s="64"/>
      <c r="C12" s="64"/>
      <c r="D12" s="64"/>
      <c r="E12" s="64"/>
      <c r="F12" s="64"/>
      <c r="G12" s="64"/>
      <c r="H12" s="64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>
      <c r="A13" s="64"/>
      <c r="B13" s="64"/>
      <c r="C13" s="64"/>
      <c r="D13" s="64"/>
      <c r="E13" s="64"/>
      <c r="F13" s="64"/>
      <c r="G13" s="64"/>
      <c r="H13" s="64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</row>
  </sheetData>
  <drawing r:id="rId1"/>
  <tableParts count="1">
    <tablePart r:id="rId3"/>
  </tableParts>
</worksheet>
</file>